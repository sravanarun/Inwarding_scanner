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C:\Users\Hp\Desktop\BOS\Bos_automation_folder\Sequel\Inwarding\"/>
    </mc:Choice>
  </mc:AlternateContent>
  <xr:revisionPtr revIDLastSave="0" documentId="13_ncr:1_{5F281D93-EC5E-4F06-947B-8E6B1B0C3FF0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Pending" sheetId="1" r:id="rId1"/>
    <sheet name="Report" sheetId="2" r:id="rId2"/>
  </sheets>
  <calcPr calcId="191029"/>
  <pivotCaches>
    <pivotCache cacheId="8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2" i="1"/>
</calcChain>
</file>

<file path=xl/sharedStrings.xml><?xml version="1.0" encoding="utf-8"?>
<sst xmlns="http://schemas.openxmlformats.org/spreadsheetml/2006/main" count="843" uniqueCount="250">
  <si>
    <t>Merge</t>
  </si>
  <si>
    <t>Variant</t>
  </si>
  <si>
    <t>Lotno</t>
  </si>
  <si>
    <t>Weight</t>
  </si>
  <si>
    <t>Category</t>
  </si>
  <si>
    <t>Group</t>
  </si>
  <si>
    <t>STN No</t>
  </si>
  <si>
    <t>Docket No</t>
  </si>
  <si>
    <t>Qnty</t>
  </si>
  <si>
    <t>800102ZFAAAA00</t>
  </si>
  <si>
    <t>2EB007657</t>
  </si>
  <si>
    <t>50D4PLVGOE1A08</t>
  </si>
  <si>
    <t>2BD000044</t>
  </si>
  <si>
    <t>50D6C3PNGAAA00</t>
  </si>
  <si>
    <t>2ED000004</t>
  </si>
  <si>
    <t>50D6C4JEOAEA00</t>
  </si>
  <si>
    <t>2EB000017</t>
  </si>
  <si>
    <t>50D6C4JHOABA00</t>
  </si>
  <si>
    <t>2EB000058</t>
  </si>
  <si>
    <t>50D6C4JNFABA00</t>
  </si>
  <si>
    <t>2EB000022</t>
  </si>
  <si>
    <t>50D6C4JNTABAP1</t>
  </si>
  <si>
    <t>2ED000010</t>
  </si>
  <si>
    <t>50D6C4JNVABAP1</t>
  </si>
  <si>
    <t>2ED000048</t>
  </si>
  <si>
    <t>50D6C4JOFABAP1</t>
  </si>
  <si>
    <t>2ED000012</t>
  </si>
  <si>
    <t>50D6C4JOHABAP1</t>
  </si>
  <si>
    <t>2ED000027</t>
  </si>
  <si>
    <t>50D6C4SAGABA00</t>
  </si>
  <si>
    <t>2EB000089</t>
  </si>
  <si>
    <t>50D6C5JDNABA00</t>
  </si>
  <si>
    <t>2EB000086</t>
  </si>
  <si>
    <t>511419COCIAA00</t>
  </si>
  <si>
    <t>2EA001111</t>
  </si>
  <si>
    <t>513018BTTBAA00</t>
  </si>
  <si>
    <t>2ED002027</t>
  </si>
  <si>
    <t>51D3C3JKKABA00</t>
  </si>
  <si>
    <t>2EB000787</t>
  </si>
  <si>
    <t>51D3C3SJKABA00</t>
  </si>
  <si>
    <t>2EB002375</t>
  </si>
  <si>
    <t>51D4A1FCZMAA00</t>
  </si>
  <si>
    <t>2EB000070</t>
  </si>
  <si>
    <t>51D4B2FHALAA00</t>
  </si>
  <si>
    <t>2EA000240</t>
  </si>
  <si>
    <t>51D5B1PZSAAA00</t>
  </si>
  <si>
    <t>2EA000040</t>
  </si>
  <si>
    <t>51D5D1DDEABA00</t>
  </si>
  <si>
    <t>2EA000003</t>
  </si>
  <si>
    <t>51D6C3VWYP2A00</t>
  </si>
  <si>
    <t>2EB000001</t>
  </si>
  <si>
    <t>51E6C1FBBMAA00</t>
  </si>
  <si>
    <t>2EB000053</t>
  </si>
  <si>
    <t>51E6C1FBQNAA00</t>
  </si>
  <si>
    <t>2EB000004</t>
  </si>
  <si>
    <t>51F5KJPCZAAA00</t>
  </si>
  <si>
    <t>2EB000051</t>
  </si>
  <si>
    <t>51G6C1FORRAA00</t>
  </si>
  <si>
    <t>2EB000042</t>
  </si>
  <si>
    <t>51G6C1FSCSAA00</t>
  </si>
  <si>
    <t>2EB000039</t>
  </si>
  <si>
    <t>51G6C1FTZRAA00</t>
  </si>
  <si>
    <t>2ED000007</t>
  </si>
  <si>
    <t>51YA77BGPBAA00</t>
  </si>
  <si>
    <t>2ED000019</t>
  </si>
  <si>
    <t>51YA77BGXBAA00</t>
  </si>
  <si>
    <t>2ED000038</t>
  </si>
  <si>
    <t>51YA77BHABAA00</t>
  </si>
  <si>
    <t>2ED000036</t>
  </si>
  <si>
    <t>51YA77BHHBAA00</t>
  </si>
  <si>
    <t>51YA77BHKBAA00</t>
  </si>
  <si>
    <t>2ED000021</t>
  </si>
  <si>
    <t>55O6M2BCNBAA2A</t>
  </si>
  <si>
    <t>2JH000012</t>
  </si>
  <si>
    <t>600102ZBARAW00</t>
  </si>
  <si>
    <t>3IA706192</t>
  </si>
  <si>
    <t>51D4C2VFGQ1100</t>
  </si>
  <si>
    <t>2EA000002</t>
  </si>
  <si>
    <t>51G2J1FCQWAS00</t>
  </si>
  <si>
    <t>2EA000005</t>
  </si>
  <si>
    <t>51W5C1CQXPWS00</t>
  </si>
  <si>
    <t>2EA000001</t>
  </si>
  <si>
    <t>51D3D2VSVS2A00</t>
  </si>
  <si>
    <t>2EB000065</t>
  </si>
  <si>
    <t>51PN29VDHV1800</t>
  </si>
  <si>
    <t>3IA000001</t>
  </si>
  <si>
    <t>50D2J1SBGAGA26</t>
  </si>
  <si>
    <t>2BD000022</t>
  </si>
  <si>
    <t>50D3PTSHFAAA26</t>
  </si>
  <si>
    <t>2BD000115</t>
  </si>
  <si>
    <t>50D4C1FUKKAA02</t>
  </si>
  <si>
    <t>2BD000077</t>
  </si>
  <si>
    <t>50D4PLDGGAGA08</t>
  </si>
  <si>
    <t>2BD000160</t>
  </si>
  <si>
    <t>50D5L1SFSAGA26</t>
  </si>
  <si>
    <t>2BD000035</t>
  </si>
  <si>
    <t>50D5PLDUAABA26</t>
  </si>
  <si>
    <t>2BD000083</t>
  </si>
  <si>
    <t>50D5PLPNKAAA2A</t>
  </si>
  <si>
    <t>2JD000020</t>
  </si>
  <si>
    <t>50D6PLFEJPAA02</t>
  </si>
  <si>
    <t>2BD000013</t>
  </si>
  <si>
    <t>50O5B2NEPDAA08</t>
  </si>
  <si>
    <t>2BD000024</t>
  </si>
  <si>
    <t>51D3D2VCVQ1A00</t>
  </si>
  <si>
    <t>51D5B1VXAR1A00</t>
  </si>
  <si>
    <t>51D5B1VXBR1A00</t>
  </si>
  <si>
    <t>2ED000035</t>
  </si>
  <si>
    <t>2ED000047</t>
  </si>
  <si>
    <t>51E5PLFBATAA00</t>
  </si>
  <si>
    <t>2ED000129</t>
  </si>
  <si>
    <t>51E5PLFBDTAA00</t>
  </si>
  <si>
    <t>2ED000150</t>
  </si>
  <si>
    <t>51E5PLFBETAA00</t>
  </si>
  <si>
    <t>2ED000108</t>
  </si>
  <si>
    <t>51E5PLFBVNAA00</t>
  </si>
  <si>
    <t>2ED000158</t>
  </si>
  <si>
    <t>51E6B1FCQTAA00</t>
  </si>
  <si>
    <t>2ED000030</t>
  </si>
  <si>
    <t>51F6C1POMAAA00</t>
  </si>
  <si>
    <t>51G6C1FTVRAA00</t>
  </si>
  <si>
    <t>2ED000045</t>
  </si>
  <si>
    <t>51YA77BHDBAA00</t>
  </si>
  <si>
    <t>2ED000013</t>
  </si>
  <si>
    <t>51YA77BHFBAA00</t>
  </si>
  <si>
    <t>2ED000022</t>
  </si>
  <si>
    <t>526062VBDR1A00</t>
  </si>
  <si>
    <t>2ED000076</t>
  </si>
  <si>
    <t>553126DOVAFA09</t>
  </si>
  <si>
    <t>2JD000095</t>
  </si>
  <si>
    <t>553126FERMAA09</t>
  </si>
  <si>
    <t>2JD000025</t>
  </si>
  <si>
    <t>553126FFBMAA09</t>
  </si>
  <si>
    <t>2JD000048</t>
  </si>
  <si>
    <t>553126FQHOAA09</t>
  </si>
  <si>
    <t>2HD000005</t>
  </si>
  <si>
    <t>553126HFDAAA09</t>
  </si>
  <si>
    <t>2JD000276</t>
  </si>
  <si>
    <t>553126HFIAAA09</t>
  </si>
  <si>
    <t>2JD000151</t>
  </si>
  <si>
    <t>553126HOQAAA09</t>
  </si>
  <si>
    <t>2JD000105</t>
  </si>
  <si>
    <t>553126SOPAFA09</t>
  </si>
  <si>
    <t>2JD000157</t>
  </si>
  <si>
    <t>553126SPFAFA09</t>
  </si>
  <si>
    <t>2BD000308</t>
  </si>
  <si>
    <t>553126SPKAFA09</t>
  </si>
  <si>
    <t>2BD000120</t>
  </si>
  <si>
    <t>55O5V32HHABAP6</t>
  </si>
  <si>
    <t>2BD000004</t>
  </si>
  <si>
    <t>55W5GP2KT1BAP6</t>
  </si>
  <si>
    <t>2BD000002</t>
  </si>
  <si>
    <t>COINS</t>
  </si>
  <si>
    <t>BANGLES</t>
  </si>
  <si>
    <t>PENDANT</t>
  </si>
  <si>
    <t>CHAIN</t>
  </si>
  <si>
    <t>BRACELET</t>
  </si>
  <si>
    <t>FINGER RING</t>
  </si>
  <si>
    <t>NECKLACE</t>
  </si>
  <si>
    <t>SetProduct2</t>
  </si>
  <si>
    <t>Silver Coins</t>
  </si>
  <si>
    <t>Gold Plain</t>
  </si>
  <si>
    <t>Gold Studded</t>
  </si>
  <si>
    <t>Gold Coins</t>
  </si>
  <si>
    <t>735496377</t>
  </si>
  <si>
    <t>735498378</t>
  </si>
  <si>
    <t>735501307</t>
  </si>
  <si>
    <t>12916157</t>
  </si>
  <si>
    <t>12917672</t>
  </si>
  <si>
    <t>12920245</t>
  </si>
  <si>
    <t>12922506</t>
  </si>
  <si>
    <t>12922853</t>
  </si>
  <si>
    <t>12917238</t>
  </si>
  <si>
    <t>12915246</t>
  </si>
  <si>
    <t>Location</t>
  </si>
  <si>
    <t>FHJR</t>
  </si>
  <si>
    <t>DVR</t>
  </si>
  <si>
    <t>POL</t>
  </si>
  <si>
    <t>THE</t>
  </si>
  <si>
    <t>735811493</t>
  </si>
  <si>
    <t>58930625795</t>
  </si>
  <si>
    <t>735814044</t>
  </si>
  <si>
    <t>58058827971</t>
  </si>
  <si>
    <t>0739227415</t>
  </si>
  <si>
    <t>NOSE PIN</t>
  </si>
  <si>
    <t>516061CLMJA200</t>
  </si>
  <si>
    <t>2JA000001</t>
  </si>
  <si>
    <t>51D4I1OGTAAA00</t>
  </si>
  <si>
    <t>2JA000026</t>
  </si>
  <si>
    <t>51D5C1DGJABA00</t>
  </si>
  <si>
    <t>2EA000009</t>
  </si>
  <si>
    <t>600102ZKCRAW00</t>
  </si>
  <si>
    <t>3IA002295</t>
  </si>
  <si>
    <t>51D6C3PNCAAA00</t>
  </si>
  <si>
    <t>51D3D2VSVR2A00</t>
  </si>
  <si>
    <t>2EB000077</t>
  </si>
  <si>
    <t>51D5B1VMGR2A00</t>
  </si>
  <si>
    <t>2EB000186</t>
  </si>
  <si>
    <t>51D3C3FIUMAA00</t>
  </si>
  <si>
    <t>2EB000100</t>
  </si>
  <si>
    <t>51D1SCJNIABA00</t>
  </si>
  <si>
    <t>2EA000635</t>
  </si>
  <si>
    <t>51D5B2FOQLAA00</t>
  </si>
  <si>
    <t>2EA000013</t>
  </si>
  <si>
    <t>51D3D2BIBBAA00</t>
  </si>
  <si>
    <t>2ED000386</t>
  </si>
  <si>
    <t>51E5C1FBNKAA00</t>
  </si>
  <si>
    <t>2JD000021</t>
  </si>
  <si>
    <t>51D6A2VFNS2A00</t>
  </si>
  <si>
    <t>2EB000024</t>
  </si>
  <si>
    <t>51D2A1JVMABA00</t>
  </si>
  <si>
    <t>2EB000949</t>
  </si>
  <si>
    <t>50D6C5SELAGA00</t>
  </si>
  <si>
    <t>2EB000044</t>
  </si>
  <si>
    <t>51D3D2VFWR1A00</t>
  </si>
  <si>
    <t>2EB000332</t>
  </si>
  <si>
    <t>512219VTMQ2B00</t>
  </si>
  <si>
    <t>2EB000202</t>
  </si>
  <si>
    <t>600102ZNARAW00</t>
  </si>
  <si>
    <t>3IA002870</t>
  </si>
  <si>
    <t>51W5C2VRMT2A00</t>
  </si>
  <si>
    <t>2EB000023</t>
  </si>
  <si>
    <t>51D5B2PATAAA00</t>
  </si>
  <si>
    <t>2EA000048</t>
  </si>
  <si>
    <t>50D6GPSHPAGA26</t>
  </si>
  <si>
    <t>2BD000171</t>
  </si>
  <si>
    <t>511030VICX1N00</t>
  </si>
  <si>
    <t>51E5C1FDINAA00</t>
  </si>
  <si>
    <t>2JD000006</t>
  </si>
  <si>
    <t>51D3B1DVYABAP1</t>
  </si>
  <si>
    <t>2EA000643</t>
  </si>
  <si>
    <t>513314DBPABA00</t>
  </si>
  <si>
    <t>2EA001704</t>
  </si>
  <si>
    <t>511318FLNMAACZ</t>
  </si>
  <si>
    <t>2EA000400</t>
  </si>
  <si>
    <t>3IA706047</t>
  </si>
  <si>
    <t>12928626</t>
  </si>
  <si>
    <t>54</t>
  </si>
  <si>
    <t>12925280</t>
  </si>
  <si>
    <t>12924386</t>
  </si>
  <si>
    <t>12924905</t>
  </si>
  <si>
    <t>107</t>
  </si>
  <si>
    <t>717</t>
  </si>
  <si>
    <t>Scanned</t>
  </si>
  <si>
    <t>No</t>
  </si>
  <si>
    <t>Earring</t>
  </si>
  <si>
    <t>Row Labels</t>
  </si>
  <si>
    <t>Grand Total</t>
  </si>
  <si>
    <t>Sum of Qnty</t>
  </si>
  <si>
    <t>Setof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</si>
</sst>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"/>
    <numFmt numFmtId="165" formatCode="#,##0.00#"/>
  </numFmts>
  <fonts count="2">
    <font>
      <sz val="11"/>
      <color theme="1"/>
      <name val="Calibri"/>
      <family val="2"/>
      <scheme val="minor"/>
    </font>
    <font>
      <sz val="9"/>
      <color rgb="FF000000"/>
      <name val="DejaVu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DejaVu Sans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DejaVu Sans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DejaVu Sans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DejaVu Sans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DejaVu Sans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DejaVu Sans"/>
        <family val="2"/>
        <scheme val="none"/>
      </font>
      <numFmt numFmtId="164" formatCode="#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DejaVu Sans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DejaVu Sans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DejaVu Sans"/>
        <family val="2"/>
        <scheme val="none"/>
      </font>
      <numFmt numFmtId="164" formatCode="#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DejaVu Sans"/>
        <family val="2"/>
        <scheme val="none"/>
      </font>
      <numFmt numFmtId="165" formatCode="#,##0.00#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DejaVu Sans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DejaVu Sans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96.84040439815" createdVersion="8" refreshedVersion="8" minRefreshableVersion="3" recordCount="101" xr:uid="{C3853F3D-E510-4BC2-B4D5-3D1BFFB387FD}">
  <cacheSource type="worksheet">
    <worksheetSource name="Table1"/>
  </cacheSource>
  <cacheFields count="11">
    <cacheField name="Merge" numFmtId="0">
      <sharedItems/>
    </cacheField>
    <cacheField name="Variant" numFmtId="0">
      <sharedItems/>
    </cacheField>
    <cacheField name="Lotno" numFmtId="0">
      <sharedItems/>
    </cacheField>
    <cacheField name="Weight" numFmtId="0">
      <sharedItems containsSemiMixedTypes="0" containsString="0" containsNumber="1" minValue="0.40300000000000002" maxValue="67.421000000000006"/>
    </cacheField>
    <cacheField name="Qnty" numFmtId="164">
      <sharedItems containsSemiMixedTypes="0" containsString="0" containsNumber="1" containsInteger="1" minValue="1" maxValue="6"/>
    </cacheField>
    <cacheField name="Category" numFmtId="0">
      <sharedItems count="10">
        <s v="COINS"/>
        <s v="BANGLES"/>
        <s v="PENDANT"/>
        <s v="Earring"/>
        <s v="CHAIN"/>
        <s v="BRACELET"/>
        <s v="FINGER RING"/>
        <s v="NECKLACE"/>
        <s v="SetProduct2"/>
        <s v="NOSE PIN"/>
      </sharedItems>
    </cacheField>
    <cacheField name="Group" numFmtId="0">
      <sharedItems count="4">
        <s v="Silver Coins"/>
        <s v="Gold Studded"/>
        <s v="Gold Plain"/>
        <s v="Gold Coins"/>
      </sharedItems>
    </cacheField>
    <cacheField name="STN No" numFmtId="49">
      <sharedItems/>
    </cacheField>
    <cacheField name="Docket No" numFmtId="49">
      <sharedItems/>
    </cacheField>
    <cacheField name="Location" numFmtId="0">
      <sharedItems/>
    </cacheField>
    <cacheField name="Scanne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s v="800102ZFAAAA002EB007657"/>
    <s v="800102ZFAAAA00"/>
    <s v="2EB007657"/>
    <n v="5"/>
    <n v="6"/>
    <x v="0"/>
    <x v="0"/>
    <s v="12916157"/>
    <s v="735496377"/>
    <s v="FHJR"/>
    <s v="No"/>
  </r>
  <r>
    <s v="50D4PLVGOE1A082BD000044"/>
    <s v="50D4PLVGOE1A08"/>
    <s v="2BD000044"/>
    <n v="14.493"/>
    <n v="1"/>
    <x v="1"/>
    <x v="1"/>
    <s v="12917672"/>
    <s v="735496377"/>
    <s v="FHJR"/>
    <s v="No"/>
  </r>
  <r>
    <s v="50D6C3PNGAAA002ED000004"/>
    <s v="50D6C3PNGAAA00"/>
    <s v="2ED000004"/>
    <n v="2.3820000000000001"/>
    <n v="1"/>
    <x v="2"/>
    <x v="2"/>
    <s v="12917672"/>
    <s v="735496377"/>
    <s v="FHJR"/>
    <s v="No"/>
  </r>
  <r>
    <s v="50D6C4JEOAEA002EB000017"/>
    <s v="50D6C4JEOAEA00"/>
    <s v="2EB000017"/>
    <n v="6.8449999999999998"/>
    <n v="1"/>
    <x v="3"/>
    <x v="2"/>
    <s v="12917672"/>
    <s v="735496377"/>
    <s v="FHJR"/>
    <s v="No"/>
  </r>
  <r>
    <s v="50D6C4JHOABA002EB000058"/>
    <s v="50D6C4JHOABA00"/>
    <s v="2EB000058"/>
    <n v="9.875"/>
    <n v="1"/>
    <x v="3"/>
    <x v="2"/>
    <s v="12917672"/>
    <s v="735496377"/>
    <s v="FHJR"/>
    <s v="No"/>
  </r>
  <r>
    <s v="50D6C4JNFABA002EB000022"/>
    <s v="50D6C4JNFABA00"/>
    <s v="2EB000022"/>
    <n v="11.009"/>
    <n v="1"/>
    <x v="3"/>
    <x v="2"/>
    <s v="12917672"/>
    <s v="735496377"/>
    <s v="FHJR"/>
    <s v="No"/>
  </r>
  <r>
    <s v="50D6C4JNTABAP12ED000010"/>
    <s v="50D6C4JNTABAP1"/>
    <s v="2ED000010"/>
    <n v="4.476"/>
    <n v="1"/>
    <x v="3"/>
    <x v="2"/>
    <s v="12917672"/>
    <s v="735496377"/>
    <s v="FHJR"/>
    <s v="No"/>
  </r>
  <r>
    <s v="50D6C4JNVABAP12ED000048"/>
    <s v="50D6C4JNVABAP1"/>
    <s v="2ED000048"/>
    <n v="6.6139999999999999"/>
    <n v="1"/>
    <x v="3"/>
    <x v="2"/>
    <s v="12917672"/>
    <s v="735496377"/>
    <s v="FHJR"/>
    <s v="No"/>
  </r>
  <r>
    <s v="50D6C4JOFABAP12ED000012"/>
    <s v="50D6C4JOFABAP1"/>
    <s v="2ED000012"/>
    <n v="6.8559999999999999"/>
    <n v="1"/>
    <x v="3"/>
    <x v="2"/>
    <s v="12917672"/>
    <s v="735496377"/>
    <s v="FHJR"/>
    <s v="No"/>
  </r>
  <r>
    <s v="50D6C4JOHABAP12ED000027"/>
    <s v="50D6C4JOHABAP1"/>
    <s v="2ED000027"/>
    <n v="5.3070000000000004"/>
    <n v="1"/>
    <x v="3"/>
    <x v="2"/>
    <s v="12917672"/>
    <s v="735496377"/>
    <s v="FHJR"/>
    <s v="No"/>
  </r>
  <r>
    <s v="50D6C4SAGABA002EB000089"/>
    <s v="50D6C4SAGABA00"/>
    <s v="2EB000089"/>
    <n v="2.0630000000000002"/>
    <n v="1"/>
    <x v="3"/>
    <x v="2"/>
    <s v="12917672"/>
    <s v="735496377"/>
    <s v="FHJR"/>
    <s v="No"/>
  </r>
  <r>
    <s v="50D6C5JDNABA002EB000086"/>
    <s v="50D6C5JDNABA00"/>
    <s v="2EB000086"/>
    <n v="12.05"/>
    <n v="1"/>
    <x v="3"/>
    <x v="2"/>
    <s v="12917672"/>
    <s v="735496377"/>
    <s v="FHJR"/>
    <s v="No"/>
  </r>
  <r>
    <s v="511419COCIAA002EA001111"/>
    <s v="511419COCIAA00"/>
    <s v="2EA001111"/>
    <n v="23.873000000000001"/>
    <n v="1"/>
    <x v="4"/>
    <x v="2"/>
    <s v="12917672"/>
    <s v="735496377"/>
    <s v="FHJR"/>
    <s v="No"/>
  </r>
  <r>
    <s v="513018BTTBAA002ED002027"/>
    <s v="513018BTTBAA00"/>
    <s v="2ED002027"/>
    <n v="10.69"/>
    <n v="1"/>
    <x v="5"/>
    <x v="2"/>
    <s v="12917672"/>
    <s v="735496377"/>
    <s v="FHJR"/>
    <s v="No"/>
  </r>
  <r>
    <s v="51D3C3JKKABA002EB000787"/>
    <s v="51D3C3JKKABA00"/>
    <s v="2EB000787"/>
    <n v="17.137"/>
    <n v="1"/>
    <x v="3"/>
    <x v="2"/>
    <s v="12917672"/>
    <s v="735496377"/>
    <s v="FHJR"/>
    <s v="No"/>
  </r>
  <r>
    <s v="51D3C3SJKABA002EB002375"/>
    <s v="51D3C3SJKABA00"/>
    <s v="2EB002375"/>
    <n v="6.5709999999999997"/>
    <n v="1"/>
    <x v="3"/>
    <x v="2"/>
    <s v="12917672"/>
    <s v="735496377"/>
    <s v="FHJR"/>
    <s v="No"/>
  </r>
  <r>
    <s v="51D4A1FCZMAA002EB000070"/>
    <s v="51D4A1FCZMAA00"/>
    <s v="2EB000070"/>
    <n v="3.0590000000000002"/>
    <n v="1"/>
    <x v="6"/>
    <x v="2"/>
    <s v="12917672"/>
    <s v="735496377"/>
    <s v="FHJR"/>
    <s v="No"/>
  </r>
  <r>
    <s v="51D4B2FHALAA002EA000240"/>
    <s v="51D4B2FHALAA00"/>
    <s v="2EA000240"/>
    <n v="2.2759999999999998"/>
    <n v="1"/>
    <x v="6"/>
    <x v="2"/>
    <s v="12917672"/>
    <s v="735496377"/>
    <s v="FHJR"/>
    <s v="No"/>
  </r>
  <r>
    <s v="51D5B1PZSAAA002EA000040"/>
    <s v="51D5B1PZSAAA00"/>
    <s v="2EA000040"/>
    <n v="1.5569999999999999"/>
    <n v="1"/>
    <x v="2"/>
    <x v="2"/>
    <s v="12917672"/>
    <s v="735496377"/>
    <s v="FHJR"/>
    <s v="No"/>
  </r>
  <r>
    <s v="51D5D1DDEABA002EA000003"/>
    <s v="51D5D1DDEABA00"/>
    <s v="2EA000003"/>
    <n v="6.1379999999999999"/>
    <n v="1"/>
    <x v="3"/>
    <x v="2"/>
    <s v="12917672"/>
    <s v="735496377"/>
    <s v="FHJR"/>
    <s v="No"/>
  </r>
  <r>
    <s v="51D6C3VWYP2A002EB000001"/>
    <s v="51D6C3VWYP2A00"/>
    <s v="2EB000001"/>
    <n v="23.553999999999998"/>
    <n v="1"/>
    <x v="1"/>
    <x v="2"/>
    <s v="12917672"/>
    <s v="735496377"/>
    <s v="FHJR"/>
    <s v="No"/>
  </r>
  <r>
    <s v="51E6C1FBBMAA002EB000053"/>
    <s v="51E6C1FBBMAA00"/>
    <s v="2EB000053"/>
    <n v="2.44"/>
    <n v="1"/>
    <x v="6"/>
    <x v="2"/>
    <s v="12917672"/>
    <s v="735496377"/>
    <s v="FHJR"/>
    <s v="No"/>
  </r>
  <r>
    <s v="51E6C1FBQNAA002EB000004"/>
    <s v="51E6C1FBQNAA00"/>
    <s v="2EB000004"/>
    <n v="2.73"/>
    <n v="1"/>
    <x v="6"/>
    <x v="2"/>
    <s v="12917672"/>
    <s v="735496377"/>
    <s v="FHJR"/>
    <s v="No"/>
  </r>
  <r>
    <s v="51F5KJPCZAAA002EB000051"/>
    <s v="51F5KJPCZAAA00"/>
    <s v="2EB000051"/>
    <n v="2.7170000000000001"/>
    <n v="1"/>
    <x v="2"/>
    <x v="2"/>
    <s v="12917672"/>
    <s v="735496377"/>
    <s v="FHJR"/>
    <s v="No"/>
  </r>
  <r>
    <s v="51G6C1FORRAA002EB000042"/>
    <s v="51G6C1FORRAA00"/>
    <s v="2EB000042"/>
    <n v="2.4670000000000001"/>
    <n v="1"/>
    <x v="6"/>
    <x v="2"/>
    <s v="12917672"/>
    <s v="735496377"/>
    <s v="FHJR"/>
    <s v="No"/>
  </r>
  <r>
    <s v="51G6C1FSCSAA002EB000039"/>
    <s v="51G6C1FSCSAA00"/>
    <s v="2EB000039"/>
    <n v="3.1320000000000001"/>
    <n v="1"/>
    <x v="6"/>
    <x v="2"/>
    <s v="12917672"/>
    <s v="735496377"/>
    <s v="FHJR"/>
    <s v="No"/>
  </r>
  <r>
    <s v="51G6C1FTZRAA002ED000007"/>
    <s v="51G6C1FTZRAA00"/>
    <s v="2ED000007"/>
    <n v="2.93"/>
    <n v="1"/>
    <x v="6"/>
    <x v="2"/>
    <s v="12917672"/>
    <s v="735496377"/>
    <s v="FHJR"/>
    <s v="No"/>
  </r>
  <r>
    <s v="51YA77BGPBAA002ED000019"/>
    <s v="51YA77BGPBAA00"/>
    <s v="2ED000019"/>
    <n v="2.8959999999999999"/>
    <n v="1"/>
    <x v="5"/>
    <x v="2"/>
    <s v="12917672"/>
    <s v="735496377"/>
    <s v="FHJR"/>
    <s v="No"/>
  </r>
  <r>
    <s v="51YA77BGXBAA002ED000038"/>
    <s v="51YA77BGXBAA00"/>
    <s v="2ED000038"/>
    <n v="4.8"/>
    <n v="1"/>
    <x v="5"/>
    <x v="2"/>
    <s v="12917672"/>
    <s v="735496377"/>
    <s v="FHJR"/>
    <s v="No"/>
  </r>
  <r>
    <s v="51YA77BHABAA002ED000036"/>
    <s v="51YA77BHABAA00"/>
    <s v="2ED000036"/>
    <n v="5.47"/>
    <n v="1"/>
    <x v="5"/>
    <x v="2"/>
    <s v="12917672"/>
    <s v="735496377"/>
    <s v="FHJR"/>
    <s v="No"/>
  </r>
  <r>
    <s v="51YA77BHHBAA002ED000036"/>
    <s v="51YA77BHHBAA00"/>
    <s v="2ED000036"/>
    <n v="4.359"/>
    <n v="1"/>
    <x v="5"/>
    <x v="2"/>
    <s v="12917672"/>
    <s v="735496377"/>
    <s v="FHJR"/>
    <s v="No"/>
  </r>
  <r>
    <s v="51YA77BHKBAA002ED000021"/>
    <s v="51YA77BHKBAA00"/>
    <s v="2ED000021"/>
    <n v="5.1280000000000001"/>
    <n v="1"/>
    <x v="5"/>
    <x v="2"/>
    <s v="12917672"/>
    <s v="735496377"/>
    <s v="FHJR"/>
    <s v="No"/>
  </r>
  <r>
    <s v="55O6M2BCNBAA2A2JH000012"/>
    <s v="55O6M2BCNBAA2A"/>
    <s v="2JH000012"/>
    <n v="10.61"/>
    <n v="1"/>
    <x v="5"/>
    <x v="1"/>
    <s v="12917672"/>
    <s v="735496377"/>
    <s v="FHJR"/>
    <s v="No"/>
  </r>
  <r>
    <s v="600102ZBARAW003IA706192"/>
    <s v="600102ZBARAW00"/>
    <s v="3IA706192"/>
    <n v="10"/>
    <n v="1"/>
    <x v="0"/>
    <x v="3"/>
    <s v="12920245"/>
    <s v="735496377"/>
    <s v="FHJR"/>
    <s v="No"/>
  </r>
  <r>
    <s v="51D4C2VFGQ11002EA000002"/>
    <s v="51D4C2VFGQ1100"/>
    <s v="2EA000002"/>
    <n v="8.5609999999999999"/>
    <n v="1"/>
    <x v="1"/>
    <x v="2"/>
    <s v="12922506"/>
    <s v="735496377"/>
    <s v="FHJR"/>
    <s v="No"/>
  </r>
  <r>
    <s v="51G2J1FCQWAS002EA000005"/>
    <s v="51G2J1FCQWAS00"/>
    <s v="2EA000005"/>
    <n v="5.2729999999999997"/>
    <n v="1"/>
    <x v="6"/>
    <x v="2"/>
    <s v="12922506"/>
    <s v="735496377"/>
    <s v="FHJR"/>
    <s v="No"/>
  </r>
  <r>
    <s v="51W5C1CQXPWS002EA000001"/>
    <s v="51W5C1CQXPWS00"/>
    <s v="2EA000001"/>
    <n v="67.421000000000006"/>
    <n v="1"/>
    <x v="4"/>
    <x v="2"/>
    <s v="12922506"/>
    <s v="735496377"/>
    <s v="FHJR"/>
    <s v="No"/>
  </r>
  <r>
    <s v="51D3D2VSVS2A002EB000065"/>
    <s v="51D3D2VSVS2A00"/>
    <s v="2EB000065"/>
    <n v="23.15"/>
    <n v="1"/>
    <x v="1"/>
    <x v="2"/>
    <s v="12922853"/>
    <s v="735496377"/>
    <s v="FHJR"/>
    <s v="No"/>
  </r>
  <r>
    <s v="51PN29VDHV18003IA000001"/>
    <s v="51PN29VDHV1800"/>
    <s v="3IA000001"/>
    <n v="24.35"/>
    <n v="1"/>
    <x v="1"/>
    <x v="2"/>
    <s v="12917238"/>
    <s v="735498378"/>
    <s v="FHJR"/>
    <s v="No"/>
  </r>
  <r>
    <s v="50D2J1SBGAGA262BD000022"/>
    <s v="50D2J1SBGAGA26"/>
    <s v="2BD000022"/>
    <n v="1.833"/>
    <n v="1"/>
    <x v="3"/>
    <x v="1"/>
    <s v="12915246"/>
    <s v="735501307"/>
    <s v="FHJR"/>
    <s v="No"/>
  </r>
  <r>
    <s v="50D3PTSHFAAA262BD000115"/>
    <s v="50D3PTSHFAAA26"/>
    <s v="2BD000115"/>
    <n v="1.84"/>
    <n v="1"/>
    <x v="3"/>
    <x v="1"/>
    <s v="12915246"/>
    <s v="735501307"/>
    <s v="FHJR"/>
    <s v="No"/>
  </r>
  <r>
    <s v="50D4C1FUKKAA022BD000077"/>
    <s v="50D4C1FUKKAA02"/>
    <s v="2BD000077"/>
    <n v="2.3359999999999999"/>
    <n v="1"/>
    <x v="6"/>
    <x v="1"/>
    <s v="12915246"/>
    <s v="735501307"/>
    <s v="FHJR"/>
    <s v="No"/>
  </r>
  <r>
    <s v="50D4PLDGGAGA082BD000160"/>
    <s v="50D4PLDGGAGA08"/>
    <s v="2BD000160"/>
    <n v="3.863"/>
    <n v="1"/>
    <x v="3"/>
    <x v="1"/>
    <s v="12915246"/>
    <s v="735501307"/>
    <s v="FHJR"/>
    <s v="No"/>
  </r>
  <r>
    <s v="50D5L1SFSAGA262BD000035"/>
    <s v="50D5L1SFSAGA26"/>
    <s v="2BD000035"/>
    <n v="1.87"/>
    <n v="1"/>
    <x v="3"/>
    <x v="1"/>
    <s v="12915246"/>
    <s v="735501307"/>
    <s v="FHJR"/>
    <s v="No"/>
  </r>
  <r>
    <s v="50D5PLDUAABA262BD000083"/>
    <s v="50D5PLDUAABA26"/>
    <s v="2BD000083"/>
    <n v="2.3450000000000002"/>
    <n v="1"/>
    <x v="3"/>
    <x v="1"/>
    <s v="12915246"/>
    <s v="735501307"/>
    <s v="FHJR"/>
    <s v="No"/>
  </r>
  <r>
    <s v="50D5PLPNKAAA2A2JD000020"/>
    <s v="50D5PLPNKAAA2A"/>
    <s v="2JD000020"/>
    <n v="1.3640000000000001"/>
    <n v="1"/>
    <x v="2"/>
    <x v="1"/>
    <s v="12915246"/>
    <s v="735501307"/>
    <s v="FHJR"/>
    <s v="No"/>
  </r>
  <r>
    <s v="50D6PLFEJPAA022BD000013"/>
    <s v="50D6PLFEJPAA02"/>
    <s v="2BD000013"/>
    <n v="2.5449999999999999"/>
    <n v="1"/>
    <x v="6"/>
    <x v="1"/>
    <s v="12915246"/>
    <s v="735501307"/>
    <s v="FHJR"/>
    <s v="No"/>
  </r>
  <r>
    <s v="50O5B2NEPDAA082BD000024"/>
    <s v="50O5B2NEPDAA08"/>
    <s v="2BD000024"/>
    <n v="13.185"/>
    <n v="1"/>
    <x v="7"/>
    <x v="1"/>
    <s v="12915246"/>
    <s v="735501307"/>
    <s v="FHJR"/>
    <s v="No"/>
  </r>
  <r>
    <s v="51D3D2VCVQ1A002ED000007"/>
    <s v="51D3D2VCVQ1A00"/>
    <s v="2ED000007"/>
    <n v="17.094000000000001"/>
    <n v="1"/>
    <x v="1"/>
    <x v="2"/>
    <s v="12915246"/>
    <s v="735501307"/>
    <s v="FHJR"/>
    <s v="No"/>
  </r>
  <r>
    <s v="51D5B1VXAR1A002ED000004"/>
    <s v="51D5B1VXAR1A00"/>
    <s v="2ED000004"/>
    <n v="17.082999999999998"/>
    <n v="1"/>
    <x v="1"/>
    <x v="2"/>
    <s v="12915246"/>
    <s v="735501307"/>
    <s v="FHJR"/>
    <s v="No"/>
  </r>
  <r>
    <s v="51D5B1VXBR1A002ED000035"/>
    <s v="51D5B1VXBR1A00"/>
    <s v="2ED000035"/>
    <n v="17.420999999999999"/>
    <n v="1"/>
    <x v="1"/>
    <x v="2"/>
    <s v="12915246"/>
    <s v="735501307"/>
    <s v="FHJR"/>
    <s v="No"/>
  </r>
  <r>
    <s v="51D5B1VXBR1A002ED000047"/>
    <s v="51D5B1VXBR1A00"/>
    <s v="2ED000047"/>
    <n v="17.308"/>
    <n v="1"/>
    <x v="1"/>
    <x v="2"/>
    <s v="12915246"/>
    <s v="735501307"/>
    <s v="FHJR"/>
    <s v="No"/>
  </r>
  <r>
    <s v="51E5PLFBATAA002ED000129"/>
    <s v="51E5PLFBATAA00"/>
    <s v="2ED000129"/>
    <n v="4.1040000000000001"/>
    <n v="1"/>
    <x v="6"/>
    <x v="2"/>
    <s v="12915246"/>
    <s v="735501307"/>
    <s v="FHJR"/>
    <s v="No"/>
  </r>
  <r>
    <s v="51E5PLFBDTAA002ED000150"/>
    <s v="51E5PLFBDTAA00"/>
    <s v="2ED000150"/>
    <n v="3.7759999999999998"/>
    <n v="1"/>
    <x v="6"/>
    <x v="2"/>
    <s v="12915246"/>
    <s v="735501307"/>
    <s v="FHJR"/>
    <s v="No"/>
  </r>
  <r>
    <s v="51E5PLFBETAA002ED000108"/>
    <s v="51E5PLFBETAA00"/>
    <s v="2ED000108"/>
    <n v="3.4750000000000001"/>
    <n v="1"/>
    <x v="6"/>
    <x v="2"/>
    <s v="12915246"/>
    <s v="735501307"/>
    <s v="FHJR"/>
    <s v="No"/>
  </r>
  <r>
    <s v="51E5PLFBVNAA002ED000158"/>
    <s v="51E5PLFBVNAA00"/>
    <s v="2ED000158"/>
    <n v="2.8260000000000001"/>
    <n v="1"/>
    <x v="6"/>
    <x v="2"/>
    <s v="12915246"/>
    <s v="735501307"/>
    <s v="FHJR"/>
    <s v="No"/>
  </r>
  <r>
    <s v="51E6B1FCQTAA002ED000030"/>
    <s v="51E6B1FCQTAA00"/>
    <s v="2ED000030"/>
    <n v="4.3"/>
    <n v="1"/>
    <x v="6"/>
    <x v="2"/>
    <s v="12915246"/>
    <s v="735501307"/>
    <s v="FHJR"/>
    <s v="No"/>
  </r>
  <r>
    <s v="51F6C1POMAAA002ED000038"/>
    <s v="51F6C1POMAAA00"/>
    <s v="2ED000038"/>
    <n v="2.0990000000000002"/>
    <n v="1"/>
    <x v="2"/>
    <x v="2"/>
    <s v="12915246"/>
    <s v="735501307"/>
    <s v="FHJR"/>
    <s v="No"/>
  </r>
  <r>
    <s v="51G6C1FTVRAA002ED000045"/>
    <s v="51G6C1FTVRAA00"/>
    <s v="2ED000045"/>
    <n v="3.6419999999999999"/>
    <n v="1"/>
    <x v="6"/>
    <x v="2"/>
    <s v="12915246"/>
    <s v="735501307"/>
    <s v="FHJR"/>
    <s v="No"/>
  </r>
  <r>
    <s v="51YA77BHDBAA002ED000013"/>
    <s v="51YA77BHDBAA00"/>
    <s v="2ED000013"/>
    <n v="5.7140000000000004"/>
    <n v="1"/>
    <x v="5"/>
    <x v="2"/>
    <s v="12915246"/>
    <s v="735501307"/>
    <s v="FHJR"/>
    <s v="No"/>
  </r>
  <r>
    <s v="51YA77BHFBAA002ED000022"/>
    <s v="51YA77BHFBAA00"/>
    <s v="2ED000022"/>
    <n v="5.17"/>
    <n v="1"/>
    <x v="5"/>
    <x v="2"/>
    <s v="12915246"/>
    <s v="735501307"/>
    <s v="FHJR"/>
    <s v="No"/>
  </r>
  <r>
    <s v="526062VBDR1A002ED000076"/>
    <s v="526062VBDR1A00"/>
    <s v="2ED000076"/>
    <n v="21.975000000000001"/>
    <n v="1"/>
    <x v="1"/>
    <x v="2"/>
    <s v="12915246"/>
    <s v="735501307"/>
    <s v="FHJR"/>
    <s v="No"/>
  </r>
  <r>
    <s v="553126DOVAFA092JD000095"/>
    <s v="553126DOVAFA09"/>
    <s v="2JD000095"/>
    <n v="1.881"/>
    <n v="1"/>
    <x v="3"/>
    <x v="1"/>
    <s v="12915246"/>
    <s v="735501307"/>
    <s v="FHJR"/>
    <s v="No"/>
  </r>
  <r>
    <s v="553126FERMAA092JD000025"/>
    <s v="553126FERMAA09"/>
    <s v="2JD000025"/>
    <n v="2.226"/>
    <n v="1"/>
    <x v="6"/>
    <x v="1"/>
    <s v="12915246"/>
    <s v="735501307"/>
    <s v="FHJR"/>
    <s v="No"/>
  </r>
  <r>
    <s v="553126FFBMAA092JD000048"/>
    <s v="553126FFBMAA09"/>
    <s v="2JD000048"/>
    <n v="1.8620000000000001"/>
    <n v="1"/>
    <x v="6"/>
    <x v="1"/>
    <s v="12915246"/>
    <s v="735501307"/>
    <s v="FHJR"/>
    <s v="No"/>
  </r>
  <r>
    <s v="553126FQHOAA092HD000005"/>
    <s v="553126FQHOAA09"/>
    <s v="2HD000005"/>
    <n v="1.8320000000000001"/>
    <n v="1"/>
    <x v="6"/>
    <x v="1"/>
    <s v="12915246"/>
    <s v="735501307"/>
    <s v="FHJR"/>
    <s v="No"/>
  </r>
  <r>
    <s v="553126HFDAAA092JD000276"/>
    <s v="553126HFDAAA09"/>
    <s v="2JD000276"/>
    <n v="2.3450000000000002"/>
    <n v="1"/>
    <x v="3"/>
    <x v="1"/>
    <s v="12915246"/>
    <s v="735501307"/>
    <s v="FHJR"/>
    <s v="No"/>
  </r>
  <r>
    <s v="553126HFIAAA092JD000151"/>
    <s v="553126HFIAAA09"/>
    <s v="2JD000151"/>
    <n v="3.2530000000000001"/>
    <n v="1"/>
    <x v="3"/>
    <x v="1"/>
    <s v="12915246"/>
    <s v="735501307"/>
    <s v="FHJR"/>
    <s v="No"/>
  </r>
  <r>
    <s v="553126HOQAAA092JD000105"/>
    <s v="553126HOQAAA09"/>
    <s v="2JD000105"/>
    <n v="1.637"/>
    <n v="1"/>
    <x v="3"/>
    <x v="1"/>
    <s v="12915246"/>
    <s v="735501307"/>
    <s v="FHJR"/>
    <s v="No"/>
  </r>
  <r>
    <s v="553126SOPAFA092JD000157"/>
    <s v="553126SOPAFA09"/>
    <s v="2JD000157"/>
    <n v="1.4970000000000001"/>
    <n v="1"/>
    <x v="3"/>
    <x v="1"/>
    <s v="12915246"/>
    <s v="735501307"/>
    <s v="FHJR"/>
    <s v="No"/>
  </r>
  <r>
    <s v="553126SPFAFA092BD000308"/>
    <s v="553126SPFAFA09"/>
    <s v="2BD000308"/>
    <n v="1.21"/>
    <n v="1"/>
    <x v="3"/>
    <x v="1"/>
    <s v="12915246"/>
    <s v="735501307"/>
    <s v="FHJR"/>
    <s v="No"/>
  </r>
  <r>
    <s v="553126SPKAFA092BD000120"/>
    <s v="553126SPKAFA09"/>
    <s v="2BD000120"/>
    <n v="1.0980000000000001"/>
    <n v="1"/>
    <x v="3"/>
    <x v="1"/>
    <s v="12915246"/>
    <s v="735501307"/>
    <s v="FHJR"/>
    <s v="No"/>
  </r>
  <r>
    <s v="55O5V32HHABAP62BD000004"/>
    <s v="55O5V32HHABAP6"/>
    <s v="2BD000004"/>
    <n v="18.670999999999999"/>
    <n v="1"/>
    <x v="8"/>
    <x v="1"/>
    <s v="12915246"/>
    <s v="735501307"/>
    <s v="FHJR"/>
    <s v="No"/>
  </r>
  <r>
    <s v="55W5GP2KT1BAP62BD000002"/>
    <s v="55W5GP2KT1BAP6"/>
    <s v="2BD000002"/>
    <n v="32.479999999999997"/>
    <n v="1"/>
    <x v="8"/>
    <x v="1"/>
    <s v="12915246"/>
    <s v="735501307"/>
    <s v="FHJR"/>
    <s v="No"/>
  </r>
  <r>
    <s v="516061CLMJA2002JA000001"/>
    <s v="516061CLMJA200"/>
    <s v="2JA000001"/>
    <n v="10.025"/>
    <n v="1"/>
    <x v="4"/>
    <x v="2"/>
    <s v="12928626"/>
    <s v="735811493"/>
    <s v="FHJR"/>
    <s v="No"/>
  </r>
  <r>
    <s v="51D4I1OGTAAA002JA000026"/>
    <s v="51D4I1OGTAAA00"/>
    <s v="2JA000026"/>
    <n v="0.40300000000000002"/>
    <n v="1"/>
    <x v="9"/>
    <x v="2"/>
    <s v="54"/>
    <s v="58930625795"/>
    <s v="DVR"/>
    <s v="No"/>
  </r>
  <r>
    <s v="51D5C1DGJABA002EA000009"/>
    <s v="51D5C1DGJABA00"/>
    <s v="2EA000009"/>
    <n v="6.9509999999999996"/>
    <n v="1"/>
    <x v="3"/>
    <x v="2"/>
    <s v="12925280"/>
    <s v="735814044"/>
    <s v="FHJR"/>
    <s v="No"/>
  </r>
  <r>
    <s v="600102ZKCRAW003IA002295"/>
    <s v="600102ZKCRAW00"/>
    <s v="3IA002295"/>
    <n v="2"/>
    <n v="1"/>
    <x v="0"/>
    <x v="3"/>
    <s v="12924386"/>
    <s v="735814044"/>
    <s v="FHJR"/>
    <s v="No"/>
  </r>
  <r>
    <s v="51D6C3PNCAAA002ED000036"/>
    <s v="51D6C3PNCAAA00"/>
    <s v="2ED000036"/>
    <n v="1.355"/>
    <n v="1"/>
    <x v="2"/>
    <x v="2"/>
    <s v="12925280"/>
    <s v="735814044"/>
    <s v="FHJR"/>
    <s v="No"/>
  </r>
  <r>
    <s v="51D3D2VSVR2A002EB000077"/>
    <s v="51D3D2VSVR2A00"/>
    <s v="2EB000077"/>
    <n v="22.77"/>
    <n v="1"/>
    <x v="1"/>
    <x v="2"/>
    <s v="12925280"/>
    <s v="735814044"/>
    <s v="FHJR"/>
    <s v="No"/>
  </r>
  <r>
    <s v="51D5B1VMGR2A002EB000186"/>
    <s v="51D5B1VMGR2A00"/>
    <s v="2EB000186"/>
    <n v="14.63"/>
    <n v="1"/>
    <x v="1"/>
    <x v="2"/>
    <s v="12925280"/>
    <s v="735814044"/>
    <s v="FHJR"/>
    <s v="No"/>
  </r>
  <r>
    <s v="51D3C3FIUMAA002EB000100"/>
    <s v="51D3C3FIUMAA00"/>
    <s v="2EB000100"/>
    <n v="6.2009999999999996"/>
    <n v="1"/>
    <x v="6"/>
    <x v="2"/>
    <s v="12925280"/>
    <s v="735814044"/>
    <s v="FHJR"/>
    <s v="No"/>
  </r>
  <r>
    <s v="51D1SCJNIABA002EA000635"/>
    <s v="51D1SCJNIABA00"/>
    <s v="2EA000635"/>
    <n v="4.0190000000000001"/>
    <n v="1"/>
    <x v="3"/>
    <x v="2"/>
    <s v="12925280"/>
    <s v="735814044"/>
    <s v="FHJR"/>
    <s v="No"/>
  </r>
  <r>
    <s v="51D5B2FOQLAA002EA000013"/>
    <s v="51D5B2FOQLAA00"/>
    <s v="2EA000013"/>
    <n v="2.6669999999999998"/>
    <n v="1"/>
    <x v="6"/>
    <x v="2"/>
    <s v="12925280"/>
    <s v="735814044"/>
    <s v="FHJR"/>
    <s v="No"/>
  </r>
  <r>
    <s v="51D3D2BIBBAA002ED000386"/>
    <s v="51D3D2BIBBAA00"/>
    <s v="2ED000386"/>
    <n v="9.5579999999999998"/>
    <n v="1"/>
    <x v="5"/>
    <x v="2"/>
    <s v="12925280"/>
    <s v="735814044"/>
    <s v="FHJR"/>
    <s v="No"/>
  </r>
  <r>
    <s v="51E5C1FBNKAA002JD000021"/>
    <s v="51E5C1FBNKAA00"/>
    <s v="2JD000021"/>
    <n v="3.9889999999999999"/>
    <n v="1"/>
    <x v="6"/>
    <x v="2"/>
    <s v="12925280"/>
    <s v="735814044"/>
    <s v="FHJR"/>
    <s v="No"/>
  </r>
  <r>
    <s v="51D6A2VFNS2A002EB000024"/>
    <s v="51D6A2VFNS2A00"/>
    <s v="2EB000024"/>
    <n v="19.266999999999999"/>
    <n v="1"/>
    <x v="1"/>
    <x v="2"/>
    <s v="12925280"/>
    <s v="735814044"/>
    <s v="FHJR"/>
    <s v="No"/>
  </r>
  <r>
    <s v="51D2A1JVMABA002EB000949"/>
    <s v="51D2A1JVMABA00"/>
    <s v="2EB000949"/>
    <n v="5.9050000000000002"/>
    <n v="1"/>
    <x v="3"/>
    <x v="2"/>
    <s v="12925280"/>
    <s v="735814044"/>
    <s v="FHJR"/>
    <s v="No"/>
  </r>
  <r>
    <s v="50D6C5SELAGA002EB000044"/>
    <s v="50D6C5SELAGA00"/>
    <s v="2EB000044"/>
    <n v="3.706"/>
    <n v="1"/>
    <x v="3"/>
    <x v="2"/>
    <s v="12925280"/>
    <s v="735814044"/>
    <s v="FHJR"/>
    <s v="No"/>
  </r>
  <r>
    <s v="51D3D2VFWR1A002EB000332"/>
    <s v="51D3D2VFWR1A00"/>
    <s v="2EB000332"/>
    <n v="16.260999999999999"/>
    <n v="1"/>
    <x v="1"/>
    <x v="2"/>
    <s v="12925280"/>
    <s v="735814044"/>
    <s v="FHJR"/>
    <s v="No"/>
  </r>
  <r>
    <s v="512219VTMQ2B002EB000202"/>
    <s v="512219VTMQ2B00"/>
    <s v="2EB000202"/>
    <n v="22.007000000000001"/>
    <n v="1"/>
    <x v="1"/>
    <x v="2"/>
    <s v="12925280"/>
    <s v="735814044"/>
    <s v="FHJR"/>
    <s v="No"/>
  </r>
  <r>
    <s v="600102ZNARAW003IA002870"/>
    <s v="600102ZNARAW00"/>
    <s v="3IA002870"/>
    <n v="1"/>
    <n v="1"/>
    <x v="0"/>
    <x v="3"/>
    <s v="12924386"/>
    <s v="735814044"/>
    <s v="FHJR"/>
    <s v="No"/>
  </r>
  <r>
    <s v="51W5C2VRMT2A002EB000023"/>
    <s v="51W5C2VRMT2A00"/>
    <s v="2EB000023"/>
    <n v="27.367000000000001"/>
    <n v="1"/>
    <x v="1"/>
    <x v="2"/>
    <s v="12925280"/>
    <s v="735814044"/>
    <s v="FHJR"/>
    <s v="No"/>
  </r>
  <r>
    <s v="51D5B2PATAAA002EA000048"/>
    <s v="51D5B2PATAAA00"/>
    <s v="2EA000048"/>
    <n v="4.657"/>
    <n v="1"/>
    <x v="2"/>
    <x v="2"/>
    <s v="12925280"/>
    <s v="735814044"/>
    <s v="FHJR"/>
    <s v="No"/>
  </r>
  <r>
    <s v="50D6GPSHPAGA262BD000171"/>
    <s v="50D6GPSHPAGA26"/>
    <s v="2BD000171"/>
    <n v="1.542"/>
    <n v="1"/>
    <x v="3"/>
    <x v="1"/>
    <s v="12925280"/>
    <s v="735814044"/>
    <s v="FHJR"/>
    <s v="No"/>
  </r>
  <r>
    <s v="511030VICX1N002EA000003"/>
    <s v="511030VICX1N00"/>
    <s v="2EA000003"/>
    <n v="29.678000000000001"/>
    <n v="1"/>
    <x v="1"/>
    <x v="2"/>
    <s v="12924905"/>
    <s v="735814044"/>
    <s v="FHJR"/>
    <s v="No"/>
  </r>
  <r>
    <s v="51E5C1FDINAA002JD000006"/>
    <s v="51E5C1FDINAA00"/>
    <s v="2JD000006"/>
    <n v="3.6080000000000001"/>
    <n v="1"/>
    <x v="6"/>
    <x v="2"/>
    <s v="12925280"/>
    <s v="735814044"/>
    <s v="FHJR"/>
    <s v="No"/>
  </r>
  <r>
    <s v="51D3B1DVYABAP12EA000643"/>
    <s v="51D3B1DVYABAP1"/>
    <s v="2EA000643"/>
    <n v="4.117"/>
    <n v="1"/>
    <x v="3"/>
    <x v="2"/>
    <s v="12925280"/>
    <s v="735814044"/>
    <s v="FHJR"/>
    <s v="No"/>
  </r>
  <r>
    <s v="513314DBPABA002EA001704"/>
    <s v="513314DBPABA00"/>
    <s v="2EA001704"/>
    <n v="21.72"/>
    <n v="1"/>
    <x v="3"/>
    <x v="2"/>
    <s v="12925280"/>
    <s v="735814044"/>
    <s v="FHJR"/>
    <s v="No"/>
  </r>
  <r>
    <s v="511318FLNMAACZ2EA000400"/>
    <s v="511318FLNMAACZ"/>
    <s v="2EA000400"/>
    <n v="2.988"/>
    <n v="1"/>
    <x v="6"/>
    <x v="2"/>
    <s v="107"/>
    <s v="58058827971"/>
    <s v="POL"/>
    <s v="No"/>
  </r>
  <r>
    <s v="600102ZBARAW003IA706047"/>
    <s v="600102ZBARAW00"/>
    <s v="3IA706047"/>
    <n v="10"/>
    <n v="1"/>
    <x v="0"/>
    <x v="3"/>
    <s v="717"/>
    <s v="0739227415"/>
    <s v="THE"/>
    <s v="N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9A2E91-C2E9-4B95-9E85-17E04B64EA25}" name="PivotTable5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4" firstHeaderRow="1" firstDataRow="1" firstDataCol="1"/>
  <pivotFields count="11">
    <pivotField showAll="0"/>
    <pivotField showAll="0"/>
    <pivotField showAll="0"/>
    <pivotField showAll="0"/>
    <pivotField dataField="1" numFmtId="164" showAll="0"/>
    <pivotField axis="axisRow" showAll="0">
      <items count="11">
        <item x="1"/>
        <item x="5"/>
        <item x="4"/>
        <item x="0"/>
        <item x="3"/>
        <item x="6"/>
        <item x="7"/>
        <item x="9"/>
        <item x="2"/>
        <item x="8"/>
        <item t="default"/>
      </items>
    </pivotField>
    <pivotField axis="axisRow"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showAll="0"/>
  </pivotFields>
  <rowFields count="2">
    <field x="6"/>
    <field x="5"/>
  </rowFields>
  <rowItems count="21">
    <i>
      <x/>
    </i>
    <i r="1">
      <x v="3"/>
    </i>
    <i>
      <x v="1"/>
    </i>
    <i r="1">
      <x/>
    </i>
    <i r="1">
      <x v="1"/>
    </i>
    <i r="1">
      <x v="2"/>
    </i>
    <i r="1">
      <x v="4"/>
    </i>
    <i r="1">
      <x v="5"/>
    </i>
    <i r="1">
      <x v="7"/>
    </i>
    <i r="1">
      <x v="8"/>
    </i>
    <i>
      <x v="2"/>
    </i>
    <i r="1">
      <x/>
    </i>
    <i r="1">
      <x v="1"/>
    </i>
    <i r="1">
      <x v="4"/>
    </i>
    <i r="1">
      <x v="5"/>
    </i>
    <i r="1">
      <x v="6"/>
    </i>
    <i r="1">
      <x v="8"/>
    </i>
    <i r="1">
      <x v="9"/>
    </i>
    <i>
      <x v="3"/>
    </i>
    <i r="1">
      <x v="3"/>
    </i>
    <i t="grand">
      <x/>
    </i>
  </rowItems>
  <colItems count="1">
    <i/>
  </colItems>
  <dataFields count="1">
    <dataField name="Sum of Qnty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457A1A-D020-42BA-A734-2BC47AB868B0}" name="Table1" displayName="Table1" ref="A1:L102" totalsRowShown="0" headerRowDxfId="2" dataDxfId="3">
  <autoFilter ref="A1:L102" xr:uid="{B8457A1A-D020-42BA-A734-2BC47AB868B0}"/>
  <tableColumns count="12">
    <tableColumn id="1" xr3:uid="{29771C41-889C-4F5A-A1F6-F3808A909221}" name="Merge" dataDxfId="13">
      <calculatedColumnFormula>B2&amp;C2</calculatedColumnFormula>
    </tableColumn>
    <tableColumn id="2" xr3:uid="{0E5E51F9-7DF3-4A06-ABB5-1C9EE9C0B984}" name="Variant" dataDxfId="12"/>
    <tableColumn id="3" xr3:uid="{37A53022-2BBA-4F86-BC3C-E96E1BF3EF61}" name="Lotno" dataDxfId="11"/>
    <tableColumn id="4" xr3:uid="{B0E5CF1A-A0EB-47B8-9BEF-E65310A41877}" name="Weight" dataDxfId="10"/>
    <tableColumn id="5" xr3:uid="{1E505F17-1C6C-4339-81D4-ED9E6D26DCAA}" name="Qnty" dataDxfId="9"/>
    <tableColumn id="6" xr3:uid="{A7E3A8A6-165F-49C7-83A6-A49671B70463}" name="Category" dataDxfId="8"/>
    <tableColumn id="7" xr3:uid="{29974179-8C32-47F3-A080-828F7A674B39}" name="Group" dataDxfId="7"/>
    <tableColumn id="14" xr3:uid="{12B03CAB-8CFA-426E-BEE9-2B5D2ED8C0C1}" name="Setof" dataDxfId="0">
      <calculatedColumnFormula>IF(Table1[[#This Row],[Category]]="BANGLES",MID(Table1[[#This Row],[Variant]],11,1),"-")</calculatedColumnFormula>
    </tableColumn>
    <tableColumn id="8" xr3:uid="{43F177D7-8C5C-46D2-8D5D-B97D3143F0BA}" name="STN No" dataDxfId="6"/>
    <tableColumn id="9" xr3:uid="{89E05842-41EE-4B17-99BF-DB4D593AF1A9}" name="Docket No" dataDxfId="5"/>
    <tableColumn id="10" xr3:uid="{385E0345-2BD6-449B-A9F7-1858BDA839F6}" name="Location" dataDxfId="4"/>
    <tableColumn id="13" xr3:uid="{D0956576-DD2C-4FC5-8A45-37075A92EB26}" name="Scanned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2"/>
  <sheetViews>
    <sheetView tabSelected="1" workbookViewId="0">
      <selection activeCell="L1" sqref="L1"/>
    </sheetView>
  </sheetViews>
  <sheetFormatPr defaultRowHeight="15"/>
  <cols>
    <col min="1" max="1" width="27.5703125" bestFit="1" customWidth="1"/>
    <col min="2" max="2" width="17.5703125" bestFit="1" customWidth="1"/>
    <col min="3" max="3" width="10.5703125" bestFit="1" customWidth="1"/>
    <col min="4" max="4" width="9.7109375" customWidth="1"/>
    <col min="5" max="5" width="7.42578125" customWidth="1"/>
    <col min="6" max="6" width="14.28515625" bestFit="1" customWidth="1"/>
    <col min="7" max="7" width="23.140625" bestFit="1" customWidth="1"/>
    <col min="8" max="8" width="9.5703125" customWidth="1"/>
    <col min="9" max="9" width="12.28515625" customWidth="1"/>
    <col min="10" max="10" width="10.5703125" customWidth="1"/>
    <col min="12" max="12" width="10.28515625" bestFit="1" customWidth="1"/>
  </cols>
  <sheetData>
    <row r="1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8</v>
      </c>
      <c r="F1" s="5" t="s">
        <v>4</v>
      </c>
      <c r="G1" s="5" t="s">
        <v>5</v>
      </c>
      <c r="H1" s="5" t="s">
        <v>249</v>
      </c>
      <c r="I1" s="5" t="s">
        <v>6</v>
      </c>
      <c r="J1" s="5" t="s">
        <v>7</v>
      </c>
      <c r="K1" s="5" t="s">
        <v>174</v>
      </c>
      <c r="L1" s="5" t="s">
        <v>243</v>
      </c>
    </row>
    <row r="2" spans="1:12">
      <c r="A2" s="5" t="str">
        <f>B2&amp;C2</f>
        <v>800102ZFAAAA002EB007657</v>
      </c>
      <c r="B2" s="1" t="s">
        <v>9</v>
      </c>
      <c r="C2" s="1" t="s">
        <v>10</v>
      </c>
      <c r="D2" s="1">
        <v>5</v>
      </c>
      <c r="E2" s="2">
        <v>6</v>
      </c>
      <c r="F2" s="1" t="s">
        <v>152</v>
      </c>
      <c r="G2" s="1" t="s">
        <v>160</v>
      </c>
      <c r="H2" s="1" t="str">
        <f>IF(Table1[[#This Row],[Category]]="BANGLES",MID(Table1[[#This Row],[Variant]],11,1),"-")</f>
        <v>-</v>
      </c>
      <c r="I2" s="3" t="s">
        <v>167</v>
      </c>
      <c r="J2" s="3" t="s">
        <v>164</v>
      </c>
      <c r="K2" s="1" t="s">
        <v>175</v>
      </c>
      <c r="L2" s="1" t="s">
        <v>244</v>
      </c>
    </row>
    <row r="3" spans="1:12">
      <c r="A3" s="5" t="str">
        <f t="shared" ref="A3:A66" si="0">B3&amp;C3</f>
        <v>50D4PLVGOE1A082BD000044</v>
      </c>
      <c r="B3" s="1" t="s">
        <v>11</v>
      </c>
      <c r="C3" s="1" t="s">
        <v>12</v>
      </c>
      <c r="D3" s="1">
        <v>14.493</v>
      </c>
      <c r="E3" s="2">
        <v>1</v>
      </c>
      <c r="F3" s="1" t="s">
        <v>153</v>
      </c>
      <c r="G3" s="1" t="s">
        <v>162</v>
      </c>
      <c r="H3" s="1" t="str">
        <f>IF(Table1[[#This Row],[Category]]="BANGLES",MID(Table1[[#This Row],[Variant]],11,1),"-")</f>
        <v>1</v>
      </c>
      <c r="I3" s="3" t="s">
        <v>168</v>
      </c>
      <c r="J3" s="3" t="s">
        <v>164</v>
      </c>
      <c r="K3" s="1" t="s">
        <v>175</v>
      </c>
      <c r="L3" s="1" t="s">
        <v>244</v>
      </c>
    </row>
    <row r="4" spans="1:12">
      <c r="A4" s="5" t="str">
        <f t="shared" si="0"/>
        <v>50D6C3PNGAAA002ED000004</v>
      </c>
      <c r="B4" s="1" t="s">
        <v>13</v>
      </c>
      <c r="C4" s="1" t="s">
        <v>14</v>
      </c>
      <c r="D4" s="1">
        <v>2.3820000000000001</v>
      </c>
      <c r="E4" s="2">
        <v>1</v>
      </c>
      <c r="F4" s="1" t="s">
        <v>154</v>
      </c>
      <c r="G4" s="1" t="s">
        <v>161</v>
      </c>
      <c r="H4" s="1" t="str">
        <f>IF(Table1[[#This Row],[Category]]="BANGLES",MID(Table1[[#This Row],[Variant]],11,1),"-")</f>
        <v>-</v>
      </c>
      <c r="I4" s="3" t="s">
        <v>168</v>
      </c>
      <c r="J4" s="3" t="s">
        <v>164</v>
      </c>
      <c r="K4" s="1" t="s">
        <v>175</v>
      </c>
      <c r="L4" s="1" t="s">
        <v>244</v>
      </c>
    </row>
    <row r="5" spans="1:12">
      <c r="A5" s="5" t="str">
        <f t="shared" si="0"/>
        <v>50D6C4JEOAEA002EB000017</v>
      </c>
      <c r="B5" s="1" t="s">
        <v>15</v>
      </c>
      <c r="C5" s="1" t="s">
        <v>16</v>
      </c>
      <c r="D5" s="1">
        <v>6.8449999999999998</v>
      </c>
      <c r="E5" s="2">
        <v>1</v>
      </c>
      <c r="F5" s="1" t="s">
        <v>245</v>
      </c>
      <c r="G5" s="1" t="s">
        <v>161</v>
      </c>
      <c r="H5" s="1" t="str">
        <f>IF(Table1[[#This Row],[Category]]="BANGLES",MID(Table1[[#This Row],[Variant]],11,1),"-")</f>
        <v>-</v>
      </c>
      <c r="I5" s="3" t="s">
        <v>168</v>
      </c>
      <c r="J5" s="3" t="s">
        <v>164</v>
      </c>
      <c r="K5" s="1" t="s">
        <v>175</v>
      </c>
      <c r="L5" s="1" t="s">
        <v>244</v>
      </c>
    </row>
    <row r="6" spans="1:12">
      <c r="A6" s="5" t="str">
        <f t="shared" si="0"/>
        <v>50D6C4JHOABA002EB000058</v>
      </c>
      <c r="B6" s="1" t="s">
        <v>17</v>
      </c>
      <c r="C6" s="1" t="s">
        <v>18</v>
      </c>
      <c r="D6" s="1">
        <v>9.875</v>
      </c>
      <c r="E6" s="2">
        <v>1</v>
      </c>
      <c r="F6" s="1" t="s">
        <v>245</v>
      </c>
      <c r="G6" s="1" t="s">
        <v>161</v>
      </c>
      <c r="H6" s="1" t="str">
        <f>IF(Table1[[#This Row],[Category]]="BANGLES",MID(Table1[[#This Row],[Variant]],11,1),"-")</f>
        <v>-</v>
      </c>
      <c r="I6" s="3" t="s">
        <v>168</v>
      </c>
      <c r="J6" s="3" t="s">
        <v>164</v>
      </c>
      <c r="K6" s="1" t="s">
        <v>175</v>
      </c>
      <c r="L6" s="1" t="s">
        <v>244</v>
      </c>
    </row>
    <row r="7" spans="1:12">
      <c r="A7" s="5" t="str">
        <f t="shared" si="0"/>
        <v>50D6C4JNFABA002EB000022</v>
      </c>
      <c r="B7" s="1" t="s">
        <v>19</v>
      </c>
      <c r="C7" s="1" t="s">
        <v>20</v>
      </c>
      <c r="D7" s="1">
        <v>11.009</v>
      </c>
      <c r="E7" s="2">
        <v>1</v>
      </c>
      <c r="F7" s="1" t="s">
        <v>245</v>
      </c>
      <c r="G7" s="1" t="s">
        <v>161</v>
      </c>
      <c r="H7" s="1" t="str">
        <f>IF(Table1[[#This Row],[Category]]="BANGLES",MID(Table1[[#This Row],[Variant]],11,1),"-")</f>
        <v>-</v>
      </c>
      <c r="I7" s="3" t="s">
        <v>168</v>
      </c>
      <c r="J7" s="3" t="s">
        <v>164</v>
      </c>
      <c r="K7" s="1" t="s">
        <v>175</v>
      </c>
      <c r="L7" s="1" t="s">
        <v>244</v>
      </c>
    </row>
    <row r="8" spans="1:12">
      <c r="A8" s="5" t="str">
        <f t="shared" si="0"/>
        <v>50D6C4JNTABAP12ED000010</v>
      </c>
      <c r="B8" s="1" t="s">
        <v>21</v>
      </c>
      <c r="C8" s="1" t="s">
        <v>22</v>
      </c>
      <c r="D8" s="1">
        <v>4.476</v>
      </c>
      <c r="E8" s="2">
        <v>1</v>
      </c>
      <c r="F8" s="1" t="s">
        <v>245</v>
      </c>
      <c r="G8" s="1" t="s">
        <v>161</v>
      </c>
      <c r="H8" s="1" t="str">
        <f>IF(Table1[[#This Row],[Category]]="BANGLES",MID(Table1[[#This Row],[Variant]],11,1),"-")</f>
        <v>-</v>
      </c>
      <c r="I8" s="3" t="s">
        <v>168</v>
      </c>
      <c r="J8" s="3" t="s">
        <v>164</v>
      </c>
      <c r="K8" s="1" t="s">
        <v>175</v>
      </c>
      <c r="L8" s="1" t="s">
        <v>244</v>
      </c>
    </row>
    <row r="9" spans="1:12">
      <c r="A9" s="5" t="str">
        <f t="shared" si="0"/>
        <v>50D6C4JNVABAP12ED000048</v>
      </c>
      <c r="B9" s="1" t="s">
        <v>23</v>
      </c>
      <c r="C9" s="1" t="s">
        <v>24</v>
      </c>
      <c r="D9" s="1">
        <v>6.6139999999999999</v>
      </c>
      <c r="E9" s="2">
        <v>1</v>
      </c>
      <c r="F9" s="1" t="s">
        <v>245</v>
      </c>
      <c r="G9" s="1" t="s">
        <v>161</v>
      </c>
      <c r="H9" s="1" t="str">
        <f>IF(Table1[[#This Row],[Category]]="BANGLES",MID(Table1[[#This Row],[Variant]],11,1),"-")</f>
        <v>-</v>
      </c>
      <c r="I9" s="3" t="s">
        <v>168</v>
      </c>
      <c r="J9" s="3" t="s">
        <v>164</v>
      </c>
      <c r="K9" s="1" t="s">
        <v>175</v>
      </c>
      <c r="L9" s="1" t="s">
        <v>244</v>
      </c>
    </row>
    <row r="10" spans="1:12">
      <c r="A10" s="5" t="str">
        <f t="shared" si="0"/>
        <v>50D6C4JOFABAP12ED000012</v>
      </c>
      <c r="B10" s="1" t="s">
        <v>25</v>
      </c>
      <c r="C10" s="1" t="s">
        <v>26</v>
      </c>
      <c r="D10" s="1">
        <v>6.8559999999999999</v>
      </c>
      <c r="E10" s="2">
        <v>1</v>
      </c>
      <c r="F10" s="1" t="s">
        <v>245</v>
      </c>
      <c r="G10" s="1" t="s">
        <v>161</v>
      </c>
      <c r="H10" s="1" t="str">
        <f>IF(Table1[[#This Row],[Category]]="BANGLES",MID(Table1[[#This Row],[Variant]],11,1),"-")</f>
        <v>-</v>
      </c>
      <c r="I10" s="3" t="s">
        <v>168</v>
      </c>
      <c r="J10" s="3" t="s">
        <v>164</v>
      </c>
      <c r="K10" s="1" t="s">
        <v>175</v>
      </c>
      <c r="L10" s="1" t="s">
        <v>244</v>
      </c>
    </row>
    <row r="11" spans="1:12">
      <c r="A11" s="5" t="str">
        <f t="shared" si="0"/>
        <v>50D6C4JOHABAP12ED000027</v>
      </c>
      <c r="B11" s="1" t="s">
        <v>27</v>
      </c>
      <c r="C11" s="1" t="s">
        <v>28</v>
      </c>
      <c r="D11" s="1">
        <v>5.3070000000000004</v>
      </c>
      <c r="E11" s="2">
        <v>1</v>
      </c>
      <c r="F11" s="1" t="s">
        <v>245</v>
      </c>
      <c r="G11" s="1" t="s">
        <v>161</v>
      </c>
      <c r="H11" s="1" t="str">
        <f>IF(Table1[[#This Row],[Category]]="BANGLES",MID(Table1[[#This Row],[Variant]],11,1),"-")</f>
        <v>-</v>
      </c>
      <c r="I11" s="3" t="s">
        <v>168</v>
      </c>
      <c r="J11" s="3" t="s">
        <v>164</v>
      </c>
      <c r="K11" s="1" t="s">
        <v>175</v>
      </c>
      <c r="L11" s="1" t="s">
        <v>244</v>
      </c>
    </row>
    <row r="12" spans="1:12">
      <c r="A12" s="5" t="str">
        <f t="shared" si="0"/>
        <v>50D6C4SAGABA002EB000089</v>
      </c>
      <c r="B12" s="1" t="s">
        <v>29</v>
      </c>
      <c r="C12" s="1" t="s">
        <v>30</v>
      </c>
      <c r="D12" s="1">
        <v>2.0630000000000002</v>
      </c>
      <c r="E12" s="2">
        <v>1</v>
      </c>
      <c r="F12" s="1" t="s">
        <v>245</v>
      </c>
      <c r="G12" s="1" t="s">
        <v>161</v>
      </c>
      <c r="H12" s="1" t="str">
        <f>IF(Table1[[#This Row],[Category]]="BANGLES",MID(Table1[[#This Row],[Variant]],11,1),"-")</f>
        <v>-</v>
      </c>
      <c r="I12" s="3" t="s">
        <v>168</v>
      </c>
      <c r="J12" s="3" t="s">
        <v>164</v>
      </c>
      <c r="K12" s="1" t="s">
        <v>175</v>
      </c>
      <c r="L12" s="1" t="s">
        <v>244</v>
      </c>
    </row>
    <row r="13" spans="1:12">
      <c r="A13" s="5" t="str">
        <f t="shared" si="0"/>
        <v>50D6C5JDNABA002EB000086</v>
      </c>
      <c r="B13" s="1" t="s">
        <v>31</v>
      </c>
      <c r="C13" s="1" t="s">
        <v>32</v>
      </c>
      <c r="D13" s="1">
        <v>12.05</v>
      </c>
      <c r="E13" s="2">
        <v>1</v>
      </c>
      <c r="F13" s="1" t="s">
        <v>245</v>
      </c>
      <c r="G13" s="1" t="s">
        <v>161</v>
      </c>
      <c r="H13" s="1" t="str">
        <f>IF(Table1[[#This Row],[Category]]="BANGLES",MID(Table1[[#This Row],[Variant]],11,1),"-")</f>
        <v>-</v>
      </c>
      <c r="I13" s="3" t="s">
        <v>168</v>
      </c>
      <c r="J13" s="3" t="s">
        <v>164</v>
      </c>
      <c r="K13" s="1" t="s">
        <v>175</v>
      </c>
      <c r="L13" s="1" t="s">
        <v>244</v>
      </c>
    </row>
    <row r="14" spans="1:12">
      <c r="A14" s="5" t="str">
        <f t="shared" si="0"/>
        <v>511419COCIAA002EA001111</v>
      </c>
      <c r="B14" s="1" t="s">
        <v>33</v>
      </c>
      <c r="C14" s="1" t="s">
        <v>34</v>
      </c>
      <c r="D14" s="1">
        <v>23.873000000000001</v>
      </c>
      <c r="E14" s="2">
        <v>1</v>
      </c>
      <c r="F14" s="1" t="s">
        <v>155</v>
      </c>
      <c r="G14" s="1" t="s">
        <v>161</v>
      </c>
      <c r="H14" s="1" t="str">
        <f>IF(Table1[[#This Row],[Category]]="BANGLES",MID(Table1[[#This Row],[Variant]],11,1),"-")</f>
        <v>-</v>
      </c>
      <c r="I14" s="3" t="s">
        <v>168</v>
      </c>
      <c r="J14" s="3" t="s">
        <v>164</v>
      </c>
      <c r="K14" s="1" t="s">
        <v>175</v>
      </c>
      <c r="L14" s="1" t="s">
        <v>244</v>
      </c>
    </row>
    <row r="15" spans="1:12">
      <c r="A15" s="5" t="str">
        <f t="shared" si="0"/>
        <v>513018BTTBAA002ED002027</v>
      </c>
      <c r="B15" s="1" t="s">
        <v>35</v>
      </c>
      <c r="C15" s="1" t="s">
        <v>36</v>
      </c>
      <c r="D15" s="1">
        <v>10.69</v>
      </c>
      <c r="E15" s="2">
        <v>1</v>
      </c>
      <c r="F15" s="1" t="s">
        <v>156</v>
      </c>
      <c r="G15" s="1" t="s">
        <v>161</v>
      </c>
      <c r="H15" s="1" t="str">
        <f>IF(Table1[[#This Row],[Category]]="BANGLES",MID(Table1[[#This Row],[Variant]],11,1),"-")</f>
        <v>-</v>
      </c>
      <c r="I15" s="3" t="s">
        <v>168</v>
      </c>
      <c r="J15" s="3" t="s">
        <v>164</v>
      </c>
      <c r="K15" s="1" t="s">
        <v>175</v>
      </c>
      <c r="L15" s="1" t="s">
        <v>244</v>
      </c>
    </row>
    <row r="16" spans="1:12">
      <c r="A16" s="5" t="str">
        <f t="shared" si="0"/>
        <v>51D3C3JKKABA002EB000787</v>
      </c>
      <c r="B16" s="1" t="s">
        <v>37</v>
      </c>
      <c r="C16" s="1" t="s">
        <v>38</v>
      </c>
      <c r="D16" s="1">
        <v>17.137</v>
      </c>
      <c r="E16" s="2">
        <v>1</v>
      </c>
      <c r="F16" s="1" t="s">
        <v>245</v>
      </c>
      <c r="G16" s="1" t="s">
        <v>161</v>
      </c>
      <c r="H16" s="1" t="str">
        <f>IF(Table1[[#This Row],[Category]]="BANGLES",MID(Table1[[#This Row],[Variant]],11,1),"-")</f>
        <v>-</v>
      </c>
      <c r="I16" s="3" t="s">
        <v>168</v>
      </c>
      <c r="J16" s="3" t="s">
        <v>164</v>
      </c>
      <c r="K16" s="1" t="s">
        <v>175</v>
      </c>
      <c r="L16" s="1" t="s">
        <v>244</v>
      </c>
    </row>
    <row r="17" spans="1:12">
      <c r="A17" s="5" t="str">
        <f t="shared" si="0"/>
        <v>51D3C3SJKABA002EB002375</v>
      </c>
      <c r="B17" s="1" t="s">
        <v>39</v>
      </c>
      <c r="C17" s="1" t="s">
        <v>40</v>
      </c>
      <c r="D17" s="1">
        <v>6.5709999999999997</v>
      </c>
      <c r="E17" s="2">
        <v>1</v>
      </c>
      <c r="F17" s="1" t="s">
        <v>245</v>
      </c>
      <c r="G17" s="1" t="s">
        <v>161</v>
      </c>
      <c r="H17" s="1" t="str">
        <f>IF(Table1[[#This Row],[Category]]="BANGLES",MID(Table1[[#This Row],[Variant]],11,1),"-")</f>
        <v>-</v>
      </c>
      <c r="I17" s="3" t="s">
        <v>168</v>
      </c>
      <c r="J17" s="3" t="s">
        <v>164</v>
      </c>
      <c r="K17" s="1" t="s">
        <v>175</v>
      </c>
      <c r="L17" s="1" t="s">
        <v>244</v>
      </c>
    </row>
    <row r="18" spans="1:12">
      <c r="A18" s="5" t="str">
        <f t="shared" si="0"/>
        <v>51D4A1FCZMAA002EB000070</v>
      </c>
      <c r="B18" s="1" t="s">
        <v>41</v>
      </c>
      <c r="C18" s="1" t="s">
        <v>42</v>
      </c>
      <c r="D18" s="1">
        <v>3.0590000000000002</v>
      </c>
      <c r="E18" s="2">
        <v>1</v>
      </c>
      <c r="F18" s="1" t="s">
        <v>157</v>
      </c>
      <c r="G18" s="1" t="s">
        <v>161</v>
      </c>
      <c r="H18" s="1" t="str">
        <f>IF(Table1[[#This Row],[Category]]="BANGLES",MID(Table1[[#This Row],[Variant]],11,1),"-")</f>
        <v>-</v>
      </c>
      <c r="I18" s="3" t="s">
        <v>168</v>
      </c>
      <c r="J18" s="3" t="s">
        <v>164</v>
      </c>
      <c r="K18" s="1" t="s">
        <v>175</v>
      </c>
      <c r="L18" s="1" t="s">
        <v>244</v>
      </c>
    </row>
    <row r="19" spans="1:12">
      <c r="A19" s="5" t="str">
        <f t="shared" si="0"/>
        <v>51D4B2FHALAA002EA000240</v>
      </c>
      <c r="B19" s="1" t="s">
        <v>43</v>
      </c>
      <c r="C19" s="1" t="s">
        <v>44</v>
      </c>
      <c r="D19" s="1">
        <v>2.2759999999999998</v>
      </c>
      <c r="E19" s="2">
        <v>1</v>
      </c>
      <c r="F19" s="1" t="s">
        <v>157</v>
      </c>
      <c r="G19" s="1" t="s">
        <v>161</v>
      </c>
      <c r="H19" s="1" t="str">
        <f>IF(Table1[[#This Row],[Category]]="BANGLES",MID(Table1[[#This Row],[Variant]],11,1),"-")</f>
        <v>-</v>
      </c>
      <c r="I19" s="3" t="s">
        <v>168</v>
      </c>
      <c r="J19" s="3" t="s">
        <v>164</v>
      </c>
      <c r="K19" s="1" t="s">
        <v>175</v>
      </c>
      <c r="L19" s="1" t="s">
        <v>244</v>
      </c>
    </row>
    <row r="20" spans="1:12">
      <c r="A20" s="5" t="str">
        <f t="shared" si="0"/>
        <v>51D5B1PZSAAA002EA000040</v>
      </c>
      <c r="B20" s="1" t="s">
        <v>45</v>
      </c>
      <c r="C20" s="1" t="s">
        <v>46</v>
      </c>
      <c r="D20" s="1">
        <v>1.5569999999999999</v>
      </c>
      <c r="E20" s="2">
        <v>1</v>
      </c>
      <c r="F20" s="1" t="s">
        <v>154</v>
      </c>
      <c r="G20" s="1" t="s">
        <v>161</v>
      </c>
      <c r="H20" s="1" t="str">
        <f>IF(Table1[[#This Row],[Category]]="BANGLES",MID(Table1[[#This Row],[Variant]],11,1),"-")</f>
        <v>-</v>
      </c>
      <c r="I20" s="3" t="s">
        <v>168</v>
      </c>
      <c r="J20" s="3" t="s">
        <v>164</v>
      </c>
      <c r="K20" s="1" t="s">
        <v>175</v>
      </c>
      <c r="L20" s="1" t="s">
        <v>244</v>
      </c>
    </row>
    <row r="21" spans="1:12">
      <c r="A21" s="5" t="str">
        <f t="shared" si="0"/>
        <v>51D5D1DDEABA002EA000003</v>
      </c>
      <c r="B21" s="1" t="s">
        <v>47</v>
      </c>
      <c r="C21" s="1" t="s">
        <v>48</v>
      </c>
      <c r="D21" s="1">
        <v>6.1379999999999999</v>
      </c>
      <c r="E21" s="2">
        <v>1</v>
      </c>
      <c r="F21" s="1" t="s">
        <v>245</v>
      </c>
      <c r="G21" s="1" t="s">
        <v>161</v>
      </c>
      <c r="H21" s="1" t="str">
        <f>IF(Table1[[#This Row],[Category]]="BANGLES",MID(Table1[[#This Row],[Variant]],11,1),"-")</f>
        <v>-</v>
      </c>
      <c r="I21" s="3" t="s">
        <v>168</v>
      </c>
      <c r="J21" s="3" t="s">
        <v>164</v>
      </c>
      <c r="K21" s="1" t="s">
        <v>175</v>
      </c>
      <c r="L21" s="1" t="s">
        <v>244</v>
      </c>
    </row>
    <row r="22" spans="1:12">
      <c r="A22" s="5" t="str">
        <f t="shared" si="0"/>
        <v>51D6C3VWYP2A002EB000001</v>
      </c>
      <c r="B22" s="1" t="s">
        <v>49</v>
      </c>
      <c r="C22" s="1" t="s">
        <v>50</v>
      </c>
      <c r="D22" s="1">
        <v>23.553999999999998</v>
      </c>
      <c r="E22" s="2">
        <v>1</v>
      </c>
      <c r="F22" s="1" t="s">
        <v>153</v>
      </c>
      <c r="G22" s="1" t="s">
        <v>161</v>
      </c>
      <c r="H22" s="1" t="str">
        <f>IF(Table1[[#This Row],[Category]]="BANGLES",MID(Table1[[#This Row],[Variant]],11,1),"-")</f>
        <v>2</v>
      </c>
      <c r="I22" s="3" t="s">
        <v>168</v>
      </c>
      <c r="J22" s="3" t="s">
        <v>164</v>
      </c>
      <c r="K22" s="1" t="s">
        <v>175</v>
      </c>
      <c r="L22" s="1" t="s">
        <v>244</v>
      </c>
    </row>
    <row r="23" spans="1:12">
      <c r="A23" s="5" t="str">
        <f t="shared" si="0"/>
        <v>51E6C1FBBMAA002EB000053</v>
      </c>
      <c r="B23" s="1" t="s">
        <v>51</v>
      </c>
      <c r="C23" s="1" t="s">
        <v>52</v>
      </c>
      <c r="D23" s="1">
        <v>2.44</v>
      </c>
      <c r="E23" s="2">
        <v>1</v>
      </c>
      <c r="F23" s="1" t="s">
        <v>157</v>
      </c>
      <c r="G23" s="1" t="s">
        <v>161</v>
      </c>
      <c r="H23" s="1" t="str">
        <f>IF(Table1[[#This Row],[Category]]="BANGLES",MID(Table1[[#This Row],[Variant]],11,1),"-")</f>
        <v>-</v>
      </c>
      <c r="I23" s="3" t="s">
        <v>168</v>
      </c>
      <c r="J23" s="3" t="s">
        <v>164</v>
      </c>
      <c r="K23" s="1" t="s">
        <v>175</v>
      </c>
      <c r="L23" s="1" t="s">
        <v>244</v>
      </c>
    </row>
    <row r="24" spans="1:12">
      <c r="A24" s="5" t="str">
        <f t="shared" si="0"/>
        <v>51E6C1FBQNAA002EB000004</v>
      </c>
      <c r="B24" s="1" t="s">
        <v>53</v>
      </c>
      <c r="C24" s="1" t="s">
        <v>54</v>
      </c>
      <c r="D24" s="1">
        <v>2.73</v>
      </c>
      <c r="E24" s="2">
        <v>1</v>
      </c>
      <c r="F24" s="1" t="s">
        <v>157</v>
      </c>
      <c r="G24" s="1" t="s">
        <v>161</v>
      </c>
      <c r="H24" s="1" t="str">
        <f>IF(Table1[[#This Row],[Category]]="BANGLES",MID(Table1[[#This Row],[Variant]],11,1),"-")</f>
        <v>-</v>
      </c>
      <c r="I24" s="3" t="s">
        <v>168</v>
      </c>
      <c r="J24" s="3" t="s">
        <v>164</v>
      </c>
      <c r="K24" s="1" t="s">
        <v>175</v>
      </c>
      <c r="L24" s="1" t="s">
        <v>244</v>
      </c>
    </row>
    <row r="25" spans="1:12">
      <c r="A25" s="5" t="str">
        <f t="shared" si="0"/>
        <v>51F5KJPCZAAA002EB000051</v>
      </c>
      <c r="B25" s="1" t="s">
        <v>55</v>
      </c>
      <c r="C25" s="1" t="s">
        <v>56</v>
      </c>
      <c r="D25" s="1">
        <v>2.7170000000000001</v>
      </c>
      <c r="E25" s="2">
        <v>1</v>
      </c>
      <c r="F25" s="1" t="s">
        <v>154</v>
      </c>
      <c r="G25" s="1" t="s">
        <v>161</v>
      </c>
      <c r="H25" s="1" t="str">
        <f>IF(Table1[[#This Row],[Category]]="BANGLES",MID(Table1[[#This Row],[Variant]],11,1),"-")</f>
        <v>-</v>
      </c>
      <c r="I25" s="3" t="s">
        <v>168</v>
      </c>
      <c r="J25" s="3" t="s">
        <v>164</v>
      </c>
      <c r="K25" s="1" t="s">
        <v>175</v>
      </c>
      <c r="L25" s="1" t="s">
        <v>244</v>
      </c>
    </row>
    <row r="26" spans="1:12">
      <c r="A26" s="5" t="str">
        <f t="shared" si="0"/>
        <v>51G6C1FORRAA002EB000042</v>
      </c>
      <c r="B26" s="1" t="s">
        <v>57</v>
      </c>
      <c r="C26" s="1" t="s">
        <v>58</v>
      </c>
      <c r="D26" s="1">
        <v>2.4670000000000001</v>
      </c>
      <c r="E26" s="2">
        <v>1</v>
      </c>
      <c r="F26" s="1" t="s">
        <v>157</v>
      </c>
      <c r="G26" s="1" t="s">
        <v>161</v>
      </c>
      <c r="H26" s="1" t="str">
        <f>IF(Table1[[#This Row],[Category]]="BANGLES",MID(Table1[[#This Row],[Variant]],11,1),"-")</f>
        <v>-</v>
      </c>
      <c r="I26" s="3" t="s">
        <v>168</v>
      </c>
      <c r="J26" s="3" t="s">
        <v>164</v>
      </c>
      <c r="K26" s="1" t="s">
        <v>175</v>
      </c>
      <c r="L26" s="1" t="s">
        <v>244</v>
      </c>
    </row>
    <row r="27" spans="1:12">
      <c r="A27" s="5" t="str">
        <f t="shared" si="0"/>
        <v>51G6C1FSCSAA002EB000039</v>
      </c>
      <c r="B27" s="1" t="s">
        <v>59</v>
      </c>
      <c r="C27" s="1" t="s">
        <v>60</v>
      </c>
      <c r="D27" s="1">
        <v>3.1320000000000001</v>
      </c>
      <c r="E27" s="2">
        <v>1</v>
      </c>
      <c r="F27" s="1" t="s">
        <v>157</v>
      </c>
      <c r="G27" s="1" t="s">
        <v>161</v>
      </c>
      <c r="H27" s="1" t="str">
        <f>IF(Table1[[#This Row],[Category]]="BANGLES",MID(Table1[[#This Row],[Variant]],11,1),"-")</f>
        <v>-</v>
      </c>
      <c r="I27" s="3" t="s">
        <v>168</v>
      </c>
      <c r="J27" s="3" t="s">
        <v>164</v>
      </c>
      <c r="K27" s="1" t="s">
        <v>175</v>
      </c>
      <c r="L27" s="1" t="s">
        <v>244</v>
      </c>
    </row>
    <row r="28" spans="1:12">
      <c r="A28" s="5" t="str">
        <f t="shared" si="0"/>
        <v>51G6C1FTZRAA002ED000007</v>
      </c>
      <c r="B28" s="1" t="s">
        <v>61</v>
      </c>
      <c r="C28" s="1" t="s">
        <v>62</v>
      </c>
      <c r="D28" s="1">
        <v>2.93</v>
      </c>
      <c r="E28" s="2">
        <v>1</v>
      </c>
      <c r="F28" s="1" t="s">
        <v>157</v>
      </c>
      <c r="G28" s="1" t="s">
        <v>161</v>
      </c>
      <c r="H28" s="1" t="str">
        <f>IF(Table1[[#This Row],[Category]]="BANGLES",MID(Table1[[#This Row],[Variant]],11,1),"-")</f>
        <v>-</v>
      </c>
      <c r="I28" s="3" t="s">
        <v>168</v>
      </c>
      <c r="J28" s="3" t="s">
        <v>164</v>
      </c>
      <c r="K28" s="1" t="s">
        <v>175</v>
      </c>
      <c r="L28" s="1" t="s">
        <v>244</v>
      </c>
    </row>
    <row r="29" spans="1:12">
      <c r="A29" s="5" t="str">
        <f t="shared" si="0"/>
        <v>51YA77BGPBAA002ED000019</v>
      </c>
      <c r="B29" s="1" t="s">
        <v>63</v>
      </c>
      <c r="C29" s="1" t="s">
        <v>64</v>
      </c>
      <c r="D29" s="1">
        <v>2.8959999999999999</v>
      </c>
      <c r="E29" s="2">
        <v>1</v>
      </c>
      <c r="F29" s="1" t="s">
        <v>156</v>
      </c>
      <c r="G29" s="1" t="s">
        <v>161</v>
      </c>
      <c r="H29" s="1" t="str">
        <f>IF(Table1[[#This Row],[Category]]="BANGLES",MID(Table1[[#This Row],[Variant]],11,1),"-")</f>
        <v>-</v>
      </c>
      <c r="I29" s="3" t="s">
        <v>168</v>
      </c>
      <c r="J29" s="3" t="s">
        <v>164</v>
      </c>
      <c r="K29" s="1" t="s">
        <v>175</v>
      </c>
      <c r="L29" s="1" t="s">
        <v>244</v>
      </c>
    </row>
    <row r="30" spans="1:12">
      <c r="A30" s="5" t="str">
        <f t="shared" si="0"/>
        <v>51YA77BGXBAA002ED000038</v>
      </c>
      <c r="B30" s="1" t="s">
        <v>65</v>
      </c>
      <c r="C30" s="1" t="s">
        <v>66</v>
      </c>
      <c r="D30" s="1">
        <v>4.8</v>
      </c>
      <c r="E30" s="2">
        <v>1</v>
      </c>
      <c r="F30" s="1" t="s">
        <v>156</v>
      </c>
      <c r="G30" s="1" t="s">
        <v>161</v>
      </c>
      <c r="H30" s="1" t="str">
        <f>IF(Table1[[#This Row],[Category]]="BANGLES",MID(Table1[[#This Row],[Variant]],11,1),"-")</f>
        <v>-</v>
      </c>
      <c r="I30" s="3" t="s">
        <v>168</v>
      </c>
      <c r="J30" s="3" t="s">
        <v>164</v>
      </c>
      <c r="K30" s="1" t="s">
        <v>175</v>
      </c>
      <c r="L30" s="1" t="s">
        <v>244</v>
      </c>
    </row>
    <row r="31" spans="1:12">
      <c r="A31" s="5" t="str">
        <f t="shared" si="0"/>
        <v>51YA77BHABAA002ED000036</v>
      </c>
      <c r="B31" s="1" t="s">
        <v>67</v>
      </c>
      <c r="C31" s="1" t="s">
        <v>68</v>
      </c>
      <c r="D31" s="1">
        <v>5.47</v>
      </c>
      <c r="E31" s="2">
        <v>1</v>
      </c>
      <c r="F31" s="1" t="s">
        <v>156</v>
      </c>
      <c r="G31" s="1" t="s">
        <v>161</v>
      </c>
      <c r="H31" s="1" t="str">
        <f>IF(Table1[[#This Row],[Category]]="BANGLES",MID(Table1[[#This Row],[Variant]],11,1),"-")</f>
        <v>-</v>
      </c>
      <c r="I31" s="3" t="s">
        <v>168</v>
      </c>
      <c r="J31" s="3" t="s">
        <v>164</v>
      </c>
      <c r="K31" s="1" t="s">
        <v>175</v>
      </c>
      <c r="L31" s="1" t="s">
        <v>244</v>
      </c>
    </row>
    <row r="32" spans="1:12">
      <c r="A32" s="5" t="str">
        <f t="shared" si="0"/>
        <v>51YA77BHHBAA002ED000036</v>
      </c>
      <c r="B32" s="1" t="s">
        <v>69</v>
      </c>
      <c r="C32" s="1" t="s">
        <v>68</v>
      </c>
      <c r="D32" s="1">
        <v>4.359</v>
      </c>
      <c r="E32" s="2">
        <v>1</v>
      </c>
      <c r="F32" s="1" t="s">
        <v>156</v>
      </c>
      <c r="G32" s="1" t="s">
        <v>161</v>
      </c>
      <c r="H32" s="1" t="str">
        <f>IF(Table1[[#This Row],[Category]]="BANGLES",MID(Table1[[#This Row],[Variant]],11,1),"-")</f>
        <v>-</v>
      </c>
      <c r="I32" s="3" t="s">
        <v>168</v>
      </c>
      <c r="J32" s="3" t="s">
        <v>164</v>
      </c>
      <c r="K32" s="1" t="s">
        <v>175</v>
      </c>
      <c r="L32" s="1" t="s">
        <v>244</v>
      </c>
    </row>
    <row r="33" spans="1:12">
      <c r="A33" s="5" t="str">
        <f t="shared" si="0"/>
        <v>51YA77BHKBAA002ED000021</v>
      </c>
      <c r="B33" s="1" t="s">
        <v>70</v>
      </c>
      <c r="C33" s="1" t="s">
        <v>71</v>
      </c>
      <c r="D33" s="1">
        <v>5.1280000000000001</v>
      </c>
      <c r="E33" s="2">
        <v>1</v>
      </c>
      <c r="F33" s="1" t="s">
        <v>156</v>
      </c>
      <c r="G33" s="1" t="s">
        <v>161</v>
      </c>
      <c r="H33" s="1" t="str">
        <f>IF(Table1[[#This Row],[Category]]="BANGLES",MID(Table1[[#This Row],[Variant]],11,1),"-")</f>
        <v>-</v>
      </c>
      <c r="I33" s="3" t="s">
        <v>168</v>
      </c>
      <c r="J33" s="3" t="s">
        <v>164</v>
      </c>
      <c r="K33" s="1" t="s">
        <v>175</v>
      </c>
      <c r="L33" s="1" t="s">
        <v>244</v>
      </c>
    </row>
    <row r="34" spans="1:12">
      <c r="A34" s="5" t="str">
        <f t="shared" si="0"/>
        <v>55O6M2BCNBAA2A2JH000012</v>
      </c>
      <c r="B34" s="1" t="s">
        <v>72</v>
      </c>
      <c r="C34" s="1" t="s">
        <v>73</v>
      </c>
      <c r="D34" s="1">
        <v>10.61</v>
      </c>
      <c r="E34" s="2">
        <v>1</v>
      </c>
      <c r="F34" s="1" t="s">
        <v>156</v>
      </c>
      <c r="G34" s="1" t="s">
        <v>162</v>
      </c>
      <c r="H34" s="1" t="str">
        <f>IF(Table1[[#This Row],[Category]]="BANGLES",MID(Table1[[#This Row],[Variant]],11,1),"-")</f>
        <v>-</v>
      </c>
      <c r="I34" s="3" t="s">
        <v>168</v>
      </c>
      <c r="J34" s="3" t="s">
        <v>164</v>
      </c>
      <c r="K34" s="1" t="s">
        <v>175</v>
      </c>
      <c r="L34" s="1" t="s">
        <v>244</v>
      </c>
    </row>
    <row r="35" spans="1:12">
      <c r="A35" s="5" t="str">
        <f t="shared" si="0"/>
        <v>600102ZBARAW003IA706192</v>
      </c>
      <c r="B35" s="1" t="s">
        <v>74</v>
      </c>
      <c r="C35" s="1" t="s">
        <v>75</v>
      </c>
      <c r="D35" s="1">
        <v>10</v>
      </c>
      <c r="E35" s="2">
        <v>1</v>
      </c>
      <c r="F35" s="1" t="s">
        <v>152</v>
      </c>
      <c r="G35" s="1" t="s">
        <v>163</v>
      </c>
      <c r="H35" s="1" t="str">
        <f>IF(Table1[[#This Row],[Category]]="BANGLES",MID(Table1[[#This Row],[Variant]],11,1),"-")</f>
        <v>-</v>
      </c>
      <c r="I35" s="3" t="s">
        <v>169</v>
      </c>
      <c r="J35" s="3" t="s">
        <v>164</v>
      </c>
      <c r="K35" s="1" t="s">
        <v>175</v>
      </c>
      <c r="L35" s="1" t="s">
        <v>244</v>
      </c>
    </row>
    <row r="36" spans="1:12">
      <c r="A36" s="5" t="str">
        <f t="shared" si="0"/>
        <v>51D4C2VFGQ11002EA000002</v>
      </c>
      <c r="B36" s="1" t="s">
        <v>76</v>
      </c>
      <c r="C36" s="1" t="s">
        <v>77</v>
      </c>
      <c r="D36" s="1">
        <v>8.5609999999999999</v>
      </c>
      <c r="E36" s="2">
        <v>1</v>
      </c>
      <c r="F36" s="1" t="s">
        <v>153</v>
      </c>
      <c r="G36" s="1" t="s">
        <v>161</v>
      </c>
      <c r="H36" s="1" t="str">
        <f>IF(Table1[[#This Row],[Category]]="BANGLES",MID(Table1[[#This Row],[Variant]],11,1),"-")</f>
        <v>1</v>
      </c>
      <c r="I36" s="3" t="s">
        <v>170</v>
      </c>
      <c r="J36" s="3" t="s">
        <v>164</v>
      </c>
      <c r="K36" s="1" t="s">
        <v>175</v>
      </c>
      <c r="L36" s="1" t="s">
        <v>244</v>
      </c>
    </row>
    <row r="37" spans="1:12">
      <c r="A37" s="5" t="str">
        <f t="shared" si="0"/>
        <v>51G2J1FCQWAS002EA000005</v>
      </c>
      <c r="B37" s="1" t="s">
        <v>78</v>
      </c>
      <c r="C37" s="1" t="s">
        <v>79</v>
      </c>
      <c r="D37" s="1">
        <v>5.2729999999999997</v>
      </c>
      <c r="E37" s="2">
        <v>1</v>
      </c>
      <c r="F37" s="1" t="s">
        <v>157</v>
      </c>
      <c r="G37" s="1" t="s">
        <v>161</v>
      </c>
      <c r="H37" s="1" t="str">
        <f>IF(Table1[[#This Row],[Category]]="BANGLES",MID(Table1[[#This Row],[Variant]],11,1),"-")</f>
        <v>-</v>
      </c>
      <c r="I37" s="3" t="s">
        <v>170</v>
      </c>
      <c r="J37" s="3" t="s">
        <v>164</v>
      </c>
      <c r="K37" s="1" t="s">
        <v>175</v>
      </c>
      <c r="L37" s="1" t="s">
        <v>244</v>
      </c>
    </row>
    <row r="38" spans="1:12">
      <c r="A38" s="5" t="str">
        <f t="shared" si="0"/>
        <v>51W5C1CQXPWS002EA000001</v>
      </c>
      <c r="B38" s="1" t="s">
        <v>80</v>
      </c>
      <c r="C38" s="1" t="s">
        <v>81</v>
      </c>
      <c r="D38" s="1">
        <v>67.421000000000006</v>
      </c>
      <c r="E38" s="2">
        <v>1</v>
      </c>
      <c r="F38" s="1" t="s">
        <v>155</v>
      </c>
      <c r="G38" s="1" t="s">
        <v>161</v>
      </c>
      <c r="H38" s="1" t="str">
        <f>IF(Table1[[#This Row],[Category]]="BANGLES",MID(Table1[[#This Row],[Variant]],11,1),"-")</f>
        <v>-</v>
      </c>
      <c r="I38" s="3" t="s">
        <v>170</v>
      </c>
      <c r="J38" s="3" t="s">
        <v>164</v>
      </c>
      <c r="K38" s="1" t="s">
        <v>175</v>
      </c>
      <c r="L38" s="1" t="s">
        <v>244</v>
      </c>
    </row>
    <row r="39" spans="1:12">
      <c r="A39" s="5" t="str">
        <f t="shared" si="0"/>
        <v>51D3D2VSVS2A002EB000065</v>
      </c>
      <c r="B39" s="1" t="s">
        <v>82</v>
      </c>
      <c r="C39" s="1" t="s">
        <v>83</v>
      </c>
      <c r="D39" s="1">
        <v>23.15</v>
      </c>
      <c r="E39" s="2">
        <v>1</v>
      </c>
      <c r="F39" s="1" t="s">
        <v>153</v>
      </c>
      <c r="G39" s="1" t="s">
        <v>161</v>
      </c>
      <c r="H39" s="1" t="str">
        <f>IF(Table1[[#This Row],[Category]]="BANGLES",MID(Table1[[#This Row],[Variant]],11,1),"-")</f>
        <v>2</v>
      </c>
      <c r="I39" s="3" t="s">
        <v>171</v>
      </c>
      <c r="J39" s="3" t="s">
        <v>164</v>
      </c>
      <c r="K39" s="1" t="s">
        <v>175</v>
      </c>
      <c r="L39" s="1" t="s">
        <v>244</v>
      </c>
    </row>
    <row r="40" spans="1:12">
      <c r="A40" s="5" t="str">
        <f t="shared" si="0"/>
        <v>51PN29VDHV18003IA000001</v>
      </c>
      <c r="B40" s="1" t="s">
        <v>84</v>
      </c>
      <c r="C40" s="1" t="s">
        <v>85</v>
      </c>
      <c r="D40" s="1">
        <v>24.35</v>
      </c>
      <c r="E40" s="2">
        <v>1</v>
      </c>
      <c r="F40" s="1" t="s">
        <v>153</v>
      </c>
      <c r="G40" s="1" t="s">
        <v>161</v>
      </c>
      <c r="H40" s="1" t="str">
        <f>IF(Table1[[#This Row],[Category]]="BANGLES",MID(Table1[[#This Row],[Variant]],11,1),"-")</f>
        <v>1</v>
      </c>
      <c r="I40" s="3" t="s">
        <v>172</v>
      </c>
      <c r="J40" s="3" t="s">
        <v>165</v>
      </c>
      <c r="K40" s="1" t="s">
        <v>175</v>
      </c>
      <c r="L40" s="1" t="s">
        <v>244</v>
      </c>
    </row>
    <row r="41" spans="1:12">
      <c r="A41" s="5" t="str">
        <f t="shared" si="0"/>
        <v>50D2J1SBGAGA262BD000022</v>
      </c>
      <c r="B41" s="1" t="s">
        <v>86</v>
      </c>
      <c r="C41" s="1" t="s">
        <v>87</v>
      </c>
      <c r="D41" s="1">
        <v>1.833</v>
      </c>
      <c r="E41" s="2">
        <v>1</v>
      </c>
      <c r="F41" s="1" t="s">
        <v>245</v>
      </c>
      <c r="G41" s="1" t="s">
        <v>162</v>
      </c>
      <c r="H41" s="1" t="str">
        <f>IF(Table1[[#This Row],[Category]]="BANGLES",MID(Table1[[#This Row],[Variant]],11,1),"-")</f>
        <v>-</v>
      </c>
      <c r="I41" s="3" t="s">
        <v>173</v>
      </c>
      <c r="J41" s="3" t="s">
        <v>166</v>
      </c>
      <c r="K41" s="1" t="s">
        <v>175</v>
      </c>
      <c r="L41" s="1" t="s">
        <v>244</v>
      </c>
    </row>
    <row r="42" spans="1:12">
      <c r="A42" s="5" t="str">
        <f t="shared" si="0"/>
        <v>50D3PTSHFAAA262BD000115</v>
      </c>
      <c r="B42" s="1" t="s">
        <v>88</v>
      </c>
      <c r="C42" s="1" t="s">
        <v>89</v>
      </c>
      <c r="D42" s="1">
        <v>1.84</v>
      </c>
      <c r="E42" s="2">
        <v>1</v>
      </c>
      <c r="F42" s="1" t="s">
        <v>245</v>
      </c>
      <c r="G42" s="1" t="s">
        <v>162</v>
      </c>
      <c r="H42" s="1" t="str">
        <f>IF(Table1[[#This Row],[Category]]="BANGLES",MID(Table1[[#This Row],[Variant]],11,1),"-")</f>
        <v>-</v>
      </c>
      <c r="I42" s="3" t="s">
        <v>173</v>
      </c>
      <c r="J42" s="3" t="s">
        <v>166</v>
      </c>
      <c r="K42" s="1" t="s">
        <v>175</v>
      </c>
      <c r="L42" s="1" t="s">
        <v>244</v>
      </c>
    </row>
    <row r="43" spans="1:12">
      <c r="A43" s="5" t="str">
        <f t="shared" si="0"/>
        <v>50D4C1FUKKAA022BD000077</v>
      </c>
      <c r="B43" s="1" t="s">
        <v>90</v>
      </c>
      <c r="C43" s="1" t="s">
        <v>91</v>
      </c>
      <c r="D43" s="1">
        <v>2.3359999999999999</v>
      </c>
      <c r="E43" s="2">
        <v>1</v>
      </c>
      <c r="F43" s="1" t="s">
        <v>157</v>
      </c>
      <c r="G43" s="1" t="s">
        <v>162</v>
      </c>
      <c r="H43" s="1" t="str">
        <f>IF(Table1[[#This Row],[Category]]="BANGLES",MID(Table1[[#This Row],[Variant]],11,1),"-")</f>
        <v>-</v>
      </c>
      <c r="I43" s="3" t="s">
        <v>173</v>
      </c>
      <c r="J43" s="3" t="s">
        <v>166</v>
      </c>
      <c r="K43" s="1" t="s">
        <v>175</v>
      </c>
      <c r="L43" s="1" t="s">
        <v>244</v>
      </c>
    </row>
    <row r="44" spans="1:12">
      <c r="A44" s="5" t="str">
        <f t="shared" si="0"/>
        <v>50D4PLDGGAGA082BD000160</v>
      </c>
      <c r="B44" s="1" t="s">
        <v>92</v>
      </c>
      <c r="C44" s="1" t="s">
        <v>93</v>
      </c>
      <c r="D44" s="1">
        <v>3.863</v>
      </c>
      <c r="E44" s="2">
        <v>1</v>
      </c>
      <c r="F44" s="1" t="s">
        <v>245</v>
      </c>
      <c r="G44" s="1" t="s">
        <v>162</v>
      </c>
      <c r="H44" s="1" t="str">
        <f>IF(Table1[[#This Row],[Category]]="BANGLES",MID(Table1[[#This Row],[Variant]],11,1),"-")</f>
        <v>-</v>
      </c>
      <c r="I44" s="3" t="s">
        <v>173</v>
      </c>
      <c r="J44" s="3" t="s">
        <v>166</v>
      </c>
      <c r="K44" s="1" t="s">
        <v>175</v>
      </c>
      <c r="L44" s="1" t="s">
        <v>244</v>
      </c>
    </row>
    <row r="45" spans="1:12">
      <c r="A45" s="5" t="str">
        <f t="shared" si="0"/>
        <v>50D5L1SFSAGA262BD000035</v>
      </c>
      <c r="B45" s="1" t="s">
        <v>94</v>
      </c>
      <c r="C45" s="1" t="s">
        <v>95</v>
      </c>
      <c r="D45" s="1">
        <v>1.87</v>
      </c>
      <c r="E45" s="2">
        <v>1</v>
      </c>
      <c r="F45" s="1" t="s">
        <v>245</v>
      </c>
      <c r="G45" s="1" t="s">
        <v>162</v>
      </c>
      <c r="H45" s="1" t="str">
        <f>IF(Table1[[#This Row],[Category]]="BANGLES",MID(Table1[[#This Row],[Variant]],11,1),"-")</f>
        <v>-</v>
      </c>
      <c r="I45" s="3" t="s">
        <v>173</v>
      </c>
      <c r="J45" s="3" t="s">
        <v>166</v>
      </c>
      <c r="K45" s="1" t="s">
        <v>175</v>
      </c>
      <c r="L45" s="1" t="s">
        <v>244</v>
      </c>
    </row>
    <row r="46" spans="1:12">
      <c r="A46" s="5" t="str">
        <f t="shared" si="0"/>
        <v>50D5PLDUAABA262BD000083</v>
      </c>
      <c r="B46" s="1" t="s">
        <v>96</v>
      </c>
      <c r="C46" s="1" t="s">
        <v>97</v>
      </c>
      <c r="D46" s="1">
        <v>2.3450000000000002</v>
      </c>
      <c r="E46" s="2">
        <v>1</v>
      </c>
      <c r="F46" s="1" t="s">
        <v>245</v>
      </c>
      <c r="G46" s="1" t="s">
        <v>162</v>
      </c>
      <c r="H46" s="1" t="str">
        <f>IF(Table1[[#This Row],[Category]]="BANGLES",MID(Table1[[#This Row],[Variant]],11,1),"-")</f>
        <v>-</v>
      </c>
      <c r="I46" s="3" t="s">
        <v>173</v>
      </c>
      <c r="J46" s="3" t="s">
        <v>166</v>
      </c>
      <c r="K46" s="1" t="s">
        <v>175</v>
      </c>
      <c r="L46" s="1" t="s">
        <v>244</v>
      </c>
    </row>
    <row r="47" spans="1:12">
      <c r="A47" s="5" t="str">
        <f t="shared" si="0"/>
        <v>50D5PLPNKAAA2A2JD000020</v>
      </c>
      <c r="B47" s="1" t="s">
        <v>98</v>
      </c>
      <c r="C47" s="1" t="s">
        <v>99</v>
      </c>
      <c r="D47" s="1">
        <v>1.3640000000000001</v>
      </c>
      <c r="E47" s="2">
        <v>1</v>
      </c>
      <c r="F47" s="1" t="s">
        <v>154</v>
      </c>
      <c r="G47" s="1" t="s">
        <v>162</v>
      </c>
      <c r="H47" s="1" t="str">
        <f>IF(Table1[[#This Row],[Category]]="BANGLES",MID(Table1[[#This Row],[Variant]],11,1),"-")</f>
        <v>-</v>
      </c>
      <c r="I47" s="3" t="s">
        <v>173</v>
      </c>
      <c r="J47" s="3" t="s">
        <v>166</v>
      </c>
      <c r="K47" s="1" t="s">
        <v>175</v>
      </c>
      <c r="L47" s="1" t="s">
        <v>244</v>
      </c>
    </row>
    <row r="48" spans="1:12">
      <c r="A48" s="5" t="str">
        <f t="shared" si="0"/>
        <v>50D6PLFEJPAA022BD000013</v>
      </c>
      <c r="B48" s="1" t="s">
        <v>100</v>
      </c>
      <c r="C48" s="1" t="s">
        <v>101</v>
      </c>
      <c r="D48" s="1">
        <v>2.5449999999999999</v>
      </c>
      <c r="E48" s="2">
        <v>1</v>
      </c>
      <c r="F48" s="1" t="s">
        <v>157</v>
      </c>
      <c r="G48" s="1" t="s">
        <v>162</v>
      </c>
      <c r="H48" s="1" t="str">
        <f>IF(Table1[[#This Row],[Category]]="BANGLES",MID(Table1[[#This Row],[Variant]],11,1),"-")</f>
        <v>-</v>
      </c>
      <c r="I48" s="3" t="s">
        <v>173</v>
      </c>
      <c r="J48" s="3" t="s">
        <v>166</v>
      </c>
      <c r="K48" s="1" t="s">
        <v>175</v>
      </c>
      <c r="L48" s="1" t="s">
        <v>244</v>
      </c>
    </row>
    <row r="49" spans="1:12">
      <c r="A49" s="5" t="str">
        <f t="shared" si="0"/>
        <v>50O5B2NEPDAA082BD000024</v>
      </c>
      <c r="B49" s="1" t="s">
        <v>102</v>
      </c>
      <c r="C49" s="1" t="s">
        <v>103</v>
      </c>
      <c r="D49" s="1">
        <v>13.185</v>
      </c>
      <c r="E49" s="2">
        <v>1</v>
      </c>
      <c r="F49" s="1" t="s">
        <v>158</v>
      </c>
      <c r="G49" s="1" t="s">
        <v>162</v>
      </c>
      <c r="H49" s="1" t="str">
        <f>IF(Table1[[#This Row],[Category]]="BANGLES",MID(Table1[[#This Row],[Variant]],11,1),"-")</f>
        <v>-</v>
      </c>
      <c r="I49" s="3" t="s">
        <v>173</v>
      </c>
      <c r="J49" s="3" t="s">
        <v>166</v>
      </c>
      <c r="K49" s="1" t="s">
        <v>175</v>
      </c>
      <c r="L49" s="1" t="s">
        <v>244</v>
      </c>
    </row>
    <row r="50" spans="1:12">
      <c r="A50" s="5" t="str">
        <f t="shared" si="0"/>
        <v>51D3D2VCVQ1A002ED000007</v>
      </c>
      <c r="B50" s="1" t="s">
        <v>104</v>
      </c>
      <c r="C50" s="1" t="s">
        <v>62</v>
      </c>
      <c r="D50" s="1">
        <v>17.094000000000001</v>
      </c>
      <c r="E50" s="2">
        <v>1</v>
      </c>
      <c r="F50" s="1" t="s">
        <v>153</v>
      </c>
      <c r="G50" s="1" t="s">
        <v>161</v>
      </c>
      <c r="H50" s="1" t="str">
        <f>IF(Table1[[#This Row],[Category]]="BANGLES",MID(Table1[[#This Row],[Variant]],11,1),"-")</f>
        <v>1</v>
      </c>
      <c r="I50" s="3" t="s">
        <v>173</v>
      </c>
      <c r="J50" s="3" t="s">
        <v>166</v>
      </c>
      <c r="K50" s="1" t="s">
        <v>175</v>
      </c>
      <c r="L50" s="1" t="s">
        <v>244</v>
      </c>
    </row>
    <row r="51" spans="1:12">
      <c r="A51" s="5" t="str">
        <f t="shared" si="0"/>
        <v>51D5B1VXAR1A002ED000004</v>
      </c>
      <c r="B51" s="1" t="s">
        <v>105</v>
      </c>
      <c r="C51" s="1" t="s">
        <v>14</v>
      </c>
      <c r="D51" s="1">
        <v>17.082999999999998</v>
      </c>
      <c r="E51" s="2">
        <v>1</v>
      </c>
      <c r="F51" s="1" t="s">
        <v>153</v>
      </c>
      <c r="G51" s="1" t="s">
        <v>161</v>
      </c>
      <c r="H51" s="1" t="str">
        <f>IF(Table1[[#This Row],[Category]]="BANGLES",MID(Table1[[#This Row],[Variant]],11,1),"-")</f>
        <v>1</v>
      </c>
      <c r="I51" s="3" t="s">
        <v>173</v>
      </c>
      <c r="J51" s="3" t="s">
        <v>166</v>
      </c>
      <c r="K51" s="1" t="s">
        <v>175</v>
      </c>
      <c r="L51" s="1" t="s">
        <v>244</v>
      </c>
    </row>
    <row r="52" spans="1:12">
      <c r="A52" s="5" t="str">
        <f t="shared" si="0"/>
        <v>51D5B1VXBR1A002ED000035</v>
      </c>
      <c r="B52" s="1" t="s">
        <v>106</v>
      </c>
      <c r="C52" s="1" t="s">
        <v>107</v>
      </c>
      <c r="D52" s="1">
        <v>17.420999999999999</v>
      </c>
      <c r="E52" s="2">
        <v>1</v>
      </c>
      <c r="F52" s="1" t="s">
        <v>153</v>
      </c>
      <c r="G52" s="1" t="s">
        <v>161</v>
      </c>
      <c r="H52" s="1" t="str">
        <f>IF(Table1[[#This Row],[Category]]="BANGLES",MID(Table1[[#This Row],[Variant]],11,1),"-")</f>
        <v>1</v>
      </c>
      <c r="I52" s="3" t="s">
        <v>173</v>
      </c>
      <c r="J52" s="3" t="s">
        <v>166</v>
      </c>
      <c r="K52" s="1" t="s">
        <v>175</v>
      </c>
      <c r="L52" s="1" t="s">
        <v>244</v>
      </c>
    </row>
    <row r="53" spans="1:12">
      <c r="A53" s="5" t="str">
        <f t="shared" si="0"/>
        <v>51D5B1VXBR1A002ED000047</v>
      </c>
      <c r="B53" s="1" t="s">
        <v>106</v>
      </c>
      <c r="C53" s="1" t="s">
        <v>108</v>
      </c>
      <c r="D53" s="1">
        <v>17.308</v>
      </c>
      <c r="E53" s="2">
        <v>1</v>
      </c>
      <c r="F53" s="1" t="s">
        <v>153</v>
      </c>
      <c r="G53" s="1" t="s">
        <v>161</v>
      </c>
      <c r="H53" s="1" t="str">
        <f>IF(Table1[[#This Row],[Category]]="BANGLES",MID(Table1[[#This Row],[Variant]],11,1),"-")</f>
        <v>1</v>
      </c>
      <c r="I53" s="3" t="s">
        <v>173</v>
      </c>
      <c r="J53" s="3" t="s">
        <v>166</v>
      </c>
      <c r="K53" s="1" t="s">
        <v>175</v>
      </c>
      <c r="L53" s="1" t="s">
        <v>244</v>
      </c>
    </row>
    <row r="54" spans="1:12">
      <c r="A54" s="5" t="str">
        <f t="shared" si="0"/>
        <v>51E5PLFBATAA002ED000129</v>
      </c>
      <c r="B54" s="1" t="s">
        <v>109</v>
      </c>
      <c r="C54" s="1" t="s">
        <v>110</v>
      </c>
      <c r="D54" s="1">
        <v>4.1040000000000001</v>
      </c>
      <c r="E54" s="2">
        <v>1</v>
      </c>
      <c r="F54" s="1" t="s">
        <v>157</v>
      </c>
      <c r="G54" s="1" t="s">
        <v>161</v>
      </c>
      <c r="H54" s="1" t="str">
        <f>IF(Table1[[#This Row],[Category]]="BANGLES",MID(Table1[[#This Row],[Variant]],11,1),"-")</f>
        <v>-</v>
      </c>
      <c r="I54" s="3" t="s">
        <v>173</v>
      </c>
      <c r="J54" s="3" t="s">
        <v>166</v>
      </c>
      <c r="K54" s="1" t="s">
        <v>175</v>
      </c>
      <c r="L54" s="1" t="s">
        <v>244</v>
      </c>
    </row>
    <row r="55" spans="1:12">
      <c r="A55" s="5" t="str">
        <f t="shared" si="0"/>
        <v>51E5PLFBDTAA002ED000150</v>
      </c>
      <c r="B55" s="1" t="s">
        <v>111</v>
      </c>
      <c r="C55" s="1" t="s">
        <v>112</v>
      </c>
      <c r="D55" s="1">
        <v>3.7759999999999998</v>
      </c>
      <c r="E55" s="2">
        <v>1</v>
      </c>
      <c r="F55" s="1" t="s">
        <v>157</v>
      </c>
      <c r="G55" s="1" t="s">
        <v>161</v>
      </c>
      <c r="H55" s="1" t="str">
        <f>IF(Table1[[#This Row],[Category]]="BANGLES",MID(Table1[[#This Row],[Variant]],11,1),"-")</f>
        <v>-</v>
      </c>
      <c r="I55" s="3" t="s">
        <v>173</v>
      </c>
      <c r="J55" s="3" t="s">
        <v>166</v>
      </c>
      <c r="K55" s="1" t="s">
        <v>175</v>
      </c>
      <c r="L55" s="1" t="s">
        <v>244</v>
      </c>
    </row>
    <row r="56" spans="1:12">
      <c r="A56" s="5" t="str">
        <f t="shared" si="0"/>
        <v>51E5PLFBETAA002ED000108</v>
      </c>
      <c r="B56" s="1" t="s">
        <v>113</v>
      </c>
      <c r="C56" s="1" t="s">
        <v>114</v>
      </c>
      <c r="D56" s="1">
        <v>3.4750000000000001</v>
      </c>
      <c r="E56" s="2">
        <v>1</v>
      </c>
      <c r="F56" s="1" t="s">
        <v>157</v>
      </c>
      <c r="G56" s="1" t="s">
        <v>161</v>
      </c>
      <c r="H56" s="1" t="str">
        <f>IF(Table1[[#This Row],[Category]]="BANGLES",MID(Table1[[#This Row],[Variant]],11,1),"-")</f>
        <v>-</v>
      </c>
      <c r="I56" s="3" t="s">
        <v>173</v>
      </c>
      <c r="J56" s="3" t="s">
        <v>166</v>
      </c>
      <c r="K56" s="1" t="s">
        <v>175</v>
      </c>
      <c r="L56" s="1" t="s">
        <v>244</v>
      </c>
    </row>
    <row r="57" spans="1:12">
      <c r="A57" s="5" t="str">
        <f t="shared" si="0"/>
        <v>51E5PLFBVNAA002ED000158</v>
      </c>
      <c r="B57" s="1" t="s">
        <v>115</v>
      </c>
      <c r="C57" s="1" t="s">
        <v>116</v>
      </c>
      <c r="D57" s="1">
        <v>2.8260000000000001</v>
      </c>
      <c r="E57" s="2">
        <v>1</v>
      </c>
      <c r="F57" s="1" t="s">
        <v>157</v>
      </c>
      <c r="G57" s="1" t="s">
        <v>161</v>
      </c>
      <c r="H57" s="1" t="str">
        <f>IF(Table1[[#This Row],[Category]]="BANGLES",MID(Table1[[#This Row],[Variant]],11,1),"-")</f>
        <v>-</v>
      </c>
      <c r="I57" s="3" t="s">
        <v>173</v>
      </c>
      <c r="J57" s="3" t="s">
        <v>166</v>
      </c>
      <c r="K57" s="1" t="s">
        <v>175</v>
      </c>
      <c r="L57" s="1" t="s">
        <v>244</v>
      </c>
    </row>
    <row r="58" spans="1:12">
      <c r="A58" s="5" t="str">
        <f t="shared" si="0"/>
        <v>51E6B1FCQTAA002ED000030</v>
      </c>
      <c r="B58" s="1" t="s">
        <v>117</v>
      </c>
      <c r="C58" s="1" t="s">
        <v>118</v>
      </c>
      <c r="D58" s="1">
        <v>4.3</v>
      </c>
      <c r="E58" s="2">
        <v>1</v>
      </c>
      <c r="F58" s="1" t="s">
        <v>157</v>
      </c>
      <c r="G58" s="1" t="s">
        <v>161</v>
      </c>
      <c r="H58" s="1" t="str">
        <f>IF(Table1[[#This Row],[Category]]="BANGLES",MID(Table1[[#This Row],[Variant]],11,1),"-")</f>
        <v>-</v>
      </c>
      <c r="I58" s="3" t="s">
        <v>173</v>
      </c>
      <c r="J58" s="3" t="s">
        <v>166</v>
      </c>
      <c r="K58" s="1" t="s">
        <v>175</v>
      </c>
      <c r="L58" s="1" t="s">
        <v>244</v>
      </c>
    </row>
    <row r="59" spans="1:12">
      <c r="A59" s="5" t="str">
        <f t="shared" si="0"/>
        <v>51F6C1POMAAA002ED000038</v>
      </c>
      <c r="B59" s="1" t="s">
        <v>119</v>
      </c>
      <c r="C59" s="1" t="s">
        <v>66</v>
      </c>
      <c r="D59" s="1">
        <v>2.0990000000000002</v>
      </c>
      <c r="E59" s="2">
        <v>1</v>
      </c>
      <c r="F59" s="1" t="s">
        <v>154</v>
      </c>
      <c r="G59" s="1" t="s">
        <v>161</v>
      </c>
      <c r="H59" s="1" t="str">
        <f>IF(Table1[[#This Row],[Category]]="BANGLES",MID(Table1[[#This Row],[Variant]],11,1),"-")</f>
        <v>-</v>
      </c>
      <c r="I59" s="3" t="s">
        <v>173</v>
      </c>
      <c r="J59" s="3" t="s">
        <v>166</v>
      </c>
      <c r="K59" s="1" t="s">
        <v>175</v>
      </c>
      <c r="L59" s="1" t="s">
        <v>244</v>
      </c>
    </row>
    <row r="60" spans="1:12">
      <c r="A60" s="5" t="str">
        <f t="shared" si="0"/>
        <v>51G6C1FTVRAA002ED000045</v>
      </c>
      <c r="B60" s="1" t="s">
        <v>120</v>
      </c>
      <c r="C60" s="1" t="s">
        <v>121</v>
      </c>
      <c r="D60" s="1">
        <v>3.6419999999999999</v>
      </c>
      <c r="E60" s="2">
        <v>1</v>
      </c>
      <c r="F60" s="1" t="s">
        <v>157</v>
      </c>
      <c r="G60" s="1" t="s">
        <v>161</v>
      </c>
      <c r="H60" s="1" t="str">
        <f>IF(Table1[[#This Row],[Category]]="BANGLES",MID(Table1[[#This Row],[Variant]],11,1),"-")</f>
        <v>-</v>
      </c>
      <c r="I60" s="3" t="s">
        <v>173</v>
      </c>
      <c r="J60" s="3" t="s">
        <v>166</v>
      </c>
      <c r="K60" s="1" t="s">
        <v>175</v>
      </c>
      <c r="L60" s="1" t="s">
        <v>244</v>
      </c>
    </row>
    <row r="61" spans="1:12">
      <c r="A61" s="5" t="str">
        <f t="shared" si="0"/>
        <v>51YA77BHDBAA002ED000013</v>
      </c>
      <c r="B61" s="1" t="s">
        <v>122</v>
      </c>
      <c r="C61" s="1" t="s">
        <v>123</v>
      </c>
      <c r="D61" s="1">
        <v>5.7140000000000004</v>
      </c>
      <c r="E61" s="2">
        <v>1</v>
      </c>
      <c r="F61" s="1" t="s">
        <v>156</v>
      </c>
      <c r="G61" s="1" t="s">
        <v>161</v>
      </c>
      <c r="H61" s="1" t="str">
        <f>IF(Table1[[#This Row],[Category]]="BANGLES",MID(Table1[[#This Row],[Variant]],11,1),"-")</f>
        <v>-</v>
      </c>
      <c r="I61" s="3" t="s">
        <v>173</v>
      </c>
      <c r="J61" s="3" t="s">
        <v>166</v>
      </c>
      <c r="K61" s="1" t="s">
        <v>175</v>
      </c>
      <c r="L61" s="1" t="s">
        <v>244</v>
      </c>
    </row>
    <row r="62" spans="1:12">
      <c r="A62" s="5" t="str">
        <f t="shared" si="0"/>
        <v>51YA77BHFBAA002ED000022</v>
      </c>
      <c r="B62" s="1" t="s">
        <v>124</v>
      </c>
      <c r="C62" s="1" t="s">
        <v>125</v>
      </c>
      <c r="D62" s="1">
        <v>5.17</v>
      </c>
      <c r="E62" s="2">
        <v>1</v>
      </c>
      <c r="F62" s="1" t="s">
        <v>156</v>
      </c>
      <c r="G62" s="1" t="s">
        <v>161</v>
      </c>
      <c r="H62" s="1" t="str">
        <f>IF(Table1[[#This Row],[Category]]="BANGLES",MID(Table1[[#This Row],[Variant]],11,1),"-")</f>
        <v>-</v>
      </c>
      <c r="I62" s="3" t="s">
        <v>173</v>
      </c>
      <c r="J62" s="3" t="s">
        <v>166</v>
      </c>
      <c r="K62" s="1" t="s">
        <v>175</v>
      </c>
      <c r="L62" s="1" t="s">
        <v>244</v>
      </c>
    </row>
    <row r="63" spans="1:12">
      <c r="A63" s="5" t="str">
        <f t="shared" si="0"/>
        <v>526062VBDR1A002ED000076</v>
      </c>
      <c r="B63" s="1" t="s">
        <v>126</v>
      </c>
      <c r="C63" s="1" t="s">
        <v>127</v>
      </c>
      <c r="D63" s="1">
        <v>21.975000000000001</v>
      </c>
      <c r="E63" s="2">
        <v>1</v>
      </c>
      <c r="F63" s="1" t="s">
        <v>153</v>
      </c>
      <c r="G63" s="1" t="s">
        <v>161</v>
      </c>
      <c r="H63" s="1" t="str">
        <f>IF(Table1[[#This Row],[Category]]="BANGLES",MID(Table1[[#This Row],[Variant]],11,1),"-")</f>
        <v>1</v>
      </c>
      <c r="I63" s="3" t="s">
        <v>173</v>
      </c>
      <c r="J63" s="3" t="s">
        <v>166</v>
      </c>
      <c r="K63" s="1" t="s">
        <v>175</v>
      </c>
      <c r="L63" s="1" t="s">
        <v>244</v>
      </c>
    </row>
    <row r="64" spans="1:12">
      <c r="A64" s="5" t="str">
        <f t="shared" si="0"/>
        <v>553126DOVAFA092JD000095</v>
      </c>
      <c r="B64" s="1" t="s">
        <v>128</v>
      </c>
      <c r="C64" s="1" t="s">
        <v>129</v>
      </c>
      <c r="D64" s="1">
        <v>1.881</v>
      </c>
      <c r="E64" s="2">
        <v>1</v>
      </c>
      <c r="F64" s="1" t="s">
        <v>245</v>
      </c>
      <c r="G64" s="1" t="s">
        <v>162</v>
      </c>
      <c r="H64" s="1" t="str">
        <f>IF(Table1[[#This Row],[Category]]="BANGLES",MID(Table1[[#This Row],[Variant]],11,1),"-")</f>
        <v>-</v>
      </c>
      <c r="I64" s="3" t="s">
        <v>173</v>
      </c>
      <c r="J64" s="3" t="s">
        <v>166</v>
      </c>
      <c r="K64" s="1" t="s">
        <v>175</v>
      </c>
      <c r="L64" s="1" t="s">
        <v>244</v>
      </c>
    </row>
    <row r="65" spans="1:12">
      <c r="A65" s="5" t="str">
        <f t="shared" si="0"/>
        <v>553126FERMAA092JD000025</v>
      </c>
      <c r="B65" s="1" t="s">
        <v>130</v>
      </c>
      <c r="C65" s="1" t="s">
        <v>131</v>
      </c>
      <c r="D65" s="1">
        <v>2.226</v>
      </c>
      <c r="E65" s="2">
        <v>1</v>
      </c>
      <c r="F65" s="1" t="s">
        <v>157</v>
      </c>
      <c r="G65" s="1" t="s">
        <v>162</v>
      </c>
      <c r="H65" s="1" t="str">
        <f>IF(Table1[[#This Row],[Category]]="BANGLES",MID(Table1[[#This Row],[Variant]],11,1),"-")</f>
        <v>-</v>
      </c>
      <c r="I65" s="3" t="s">
        <v>173</v>
      </c>
      <c r="J65" s="3" t="s">
        <v>166</v>
      </c>
      <c r="K65" s="1" t="s">
        <v>175</v>
      </c>
      <c r="L65" s="1" t="s">
        <v>244</v>
      </c>
    </row>
    <row r="66" spans="1:12">
      <c r="A66" s="5" t="str">
        <f t="shared" si="0"/>
        <v>553126FFBMAA092JD000048</v>
      </c>
      <c r="B66" s="1" t="s">
        <v>132</v>
      </c>
      <c r="C66" s="1" t="s">
        <v>133</v>
      </c>
      <c r="D66" s="1">
        <v>1.8620000000000001</v>
      </c>
      <c r="E66" s="2">
        <v>1</v>
      </c>
      <c r="F66" s="1" t="s">
        <v>157</v>
      </c>
      <c r="G66" s="1" t="s">
        <v>162</v>
      </c>
      <c r="H66" s="1" t="str">
        <f>IF(Table1[[#This Row],[Category]]="BANGLES",MID(Table1[[#This Row],[Variant]],11,1),"-")</f>
        <v>-</v>
      </c>
      <c r="I66" s="3" t="s">
        <v>173</v>
      </c>
      <c r="J66" s="3" t="s">
        <v>166</v>
      </c>
      <c r="K66" s="1" t="s">
        <v>175</v>
      </c>
      <c r="L66" s="1" t="s">
        <v>244</v>
      </c>
    </row>
    <row r="67" spans="1:12">
      <c r="A67" s="5" t="str">
        <f t="shared" ref="A67:A102" si="1">B67&amp;C67</f>
        <v>553126FQHOAA092HD000005</v>
      </c>
      <c r="B67" s="1" t="s">
        <v>134</v>
      </c>
      <c r="C67" s="1" t="s">
        <v>135</v>
      </c>
      <c r="D67" s="1">
        <v>1.8320000000000001</v>
      </c>
      <c r="E67" s="2">
        <v>1</v>
      </c>
      <c r="F67" s="1" t="s">
        <v>157</v>
      </c>
      <c r="G67" s="1" t="s">
        <v>162</v>
      </c>
      <c r="H67" s="1" t="str">
        <f>IF(Table1[[#This Row],[Category]]="BANGLES",MID(Table1[[#This Row],[Variant]],11,1),"-")</f>
        <v>-</v>
      </c>
      <c r="I67" s="3" t="s">
        <v>173</v>
      </c>
      <c r="J67" s="3" t="s">
        <v>166</v>
      </c>
      <c r="K67" s="1" t="s">
        <v>175</v>
      </c>
      <c r="L67" s="1" t="s">
        <v>244</v>
      </c>
    </row>
    <row r="68" spans="1:12">
      <c r="A68" s="5" t="str">
        <f t="shared" si="1"/>
        <v>553126HFDAAA092JD000276</v>
      </c>
      <c r="B68" s="1" t="s">
        <v>136</v>
      </c>
      <c r="C68" s="1" t="s">
        <v>137</v>
      </c>
      <c r="D68" s="1">
        <v>2.3450000000000002</v>
      </c>
      <c r="E68" s="2">
        <v>1</v>
      </c>
      <c r="F68" s="1" t="s">
        <v>245</v>
      </c>
      <c r="G68" s="1" t="s">
        <v>162</v>
      </c>
      <c r="H68" s="1" t="str">
        <f>IF(Table1[[#This Row],[Category]]="BANGLES",MID(Table1[[#This Row],[Variant]],11,1),"-")</f>
        <v>-</v>
      </c>
      <c r="I68" s="3" t="s">
        <v>173</v>
      </c>
      <c r="J68" s="3" t="s">
        <v>166</v>
      </c>
      <c r="K68" s="1" t="s">
        <v>175</v>
      </c>
      <c r="L68" s="1" t="s">
        <v>244</v>
      </c>
    </row>
    <row r="69" spans="1:12">
      <c r="A69" s="5" t="str">
        <f t="shared" si="1"/>
        <v>553126HFIAAA092JD000151</v>
      </c>
      <c r="B69" s="1" t="s">
        <v>138</v>
      </c>
      <c r="C69" s="1" t="s">
        <v>139</v>
      </c>
      <c r="D69" s="1">
        <v>3.2530000000000001</v>
      </c>
      <c r="E69" s="2">
        <v>1</v>
      </c>
      <c r="F69" s="1" t="s">
        <v>245</v>
      </c>
      <c r="G69" s="1" t="s">
        <v>162</v>
      </c>
      <c r="H69" s="1" t="str">
        <f>IF(Table1[[#This Row],[Category]]="BANGLES",MID(Table1[[#This Row],[Variant]],11,1),"-")</f>
        <v>-</v>
      </c>
      <c r="I69" s="3" t="s">
        <v>173</v>
      </c>
      <c r="J69" s="3" t="s">
        <v>166</v>
      </c>
      <c r="K69" s="1" t="s">
        <v>175</v>
      </c>
      <c r="L69" s="1" t="s">
        <v>244</v>
      </c>
    </row>
    <row r="70" spans="1:12">
      <c r="A70" s="5" t="str">
        <f t="shared" si="1"/>
        <v>553126HOQAAA092JD000105</v>
      </c>
      <c r="B70" s="1" t="s">
        <v>140</v>
      </c>
      <c r="C70" s="1" t="s">
        <v>141</v>
      </c>
      <c r="D70" s="1">
        <v>1.637</v>
      </c>
      <c r="E70" s="2">
        <v>1</v>
      </c>
      <c r="F70" s="1" t="s">
        <v>245</v>
      </c>
      <c r="G70" s="1" t="s">
        <v>162</v>
      </c>
      <c r="H70" s="1" t="str">
        <f>IF(Table1[[#This Row],[Category]]="BANGLES",MID(Table1[[#This Row],[Variant]],11,1),"-")</f>
        <v>-</v>
      </c>
      <c r="I70" s="3" t="s">
        <v>173</v>
      </c>
      <c r="J70" s="3" t="s">
        <v>166</v>
      </c>
      <c r="K70" s="1" t="s">
        <v>175</v>
      </c>
      <c r="L70" s="1" t="s">
        <v>244</v>
      </c>
    </row>
    <row r="71" spans="1:12">
      <c r="A71" s="5" t="str">
        <f t="shared" si="1"/>
        <v>553126SOPAFA092JD000157</v>
      </c>
      <c r="B71" s="1" t="s">
        <v>142</v>
      </c>
      <c r="C71" s="1" t="s">
        <v>143</v>
      </c>
      <c r="D71" s="1">
        <v>1.4970000000000001</v>
      </c>
      <c r="E71" s="2">
        <v>1</v>
      </c>
      <c r="F71" s="1" t="s">
        <v>245</v>
      </c>
      <c r="G71" s="1" t="s">
        <v>162</v>
      </c>
      <c r="H71" s="1" t="str">
        <f>IF(Table1[[#This Row],[Category]]="BANGLES",MID(Table1[[#This Row],[Variant]],11,1),"-")</f>
        <v>-</v>
      </c>
      <c r="I71" s="3" t="s">
        <v>173</v>
      </c>
      <c r="J71" s="3" t="s">
        <v>166</v>
      </c>
      <c r="K71" s="1" t="s">
        <v>175</v>
      </c>
      <c r="L71" s="1" t="s">
        <v>244</v>
      </c>
    </row>
    <row r="72" spans="1:12">
      <c r="A72" s="5" t="str">
        <f t="shared" si="1"/>
        <v>553126SPFAFA092BD000308</v>
      </c>
      <c r="B72" s="1" t="s">
        <v>144</v>
      </c>
      <c r="C72" s="1" t="s">
        <v>145</v>
      </c>
      <c r="D72" s="1">
        <v>1.21</v>
      </c>
      <c r="E72" s="2">
        <v>1</v>
      </c>
      <c r="F72" s="1" t="s">
        <v>245</v>
      </c>
      <c r="G72" s="1" t="s">
        <v>162</v>
      </c>
      <c r="H72" s="1" t="str">
        <f>IF(Table1[[#This Row],[Category]]="BANGLES",MID(Table1[[#This Row],[Variant]],11,1),"-")</f>
        <v>-</v>
      </c>
      <c r="I72" s="3" t="s">
        <v>173</v>
      </c>
      <c r="J72" s="3" t="s">
        <v>166</v>
      </c>
      <c r="K72" s="1" t="s">
        <v>175</v>
      </c>
      <c r="L72" s="1" t="s">
        <v>244</v>
      </c>
    </row>
    <row r="73" spans="1:12">
      <c r="A73" s="5" t="str">
        <f t="shared" si="1"/>
        <v>553126SPKAFA092BD000120</v>
      </c>
      <c r="B73" s="1" t="s">
        <v>146</v>
      </c>
      <c r="C73" s="1" t="s">
        <v>147</v>
      </c>
      <c r="D73" s="1">
        <v>1.0980000000000001</v>
      </c>
      <c r="E73" s="2">
        <v>1</v>
      </c>
      <c r="F73" s="1" t="s">
        <v>245</v>
      </c>
      <c r="G73" s="1" t="s">
        <v>162</v>
      </c>
      <c r="H73" s="1" t="str">
        <f>IF(Table1[[#This Row],[Category]]="BANGLES",MID(Table1[[#This Row],[Variant]],11,1),"-")</f>
        <v>-</v>
      </c>
      <c r="I73" s="3" t="s">
        <v>173</v>
      </c>
      <c r="J73" s="3" t="s">
        <v>166</v>
      </c>
      <c r="K73" s="1" t="s">
        <v>175</v>
      </c>
      <c r="L73" s="1" t="s">
        <v>244</v>
      </c>
    </row>
    <row r="74" spans="1:12">
      <c r="A74" s="5" t="str">
        <f t="shared" si="1"/>
        <v>55O5V32HHABAP62BD000004</v>
      </c>
      <c r="B74" s="1" t="s">
        <v>148</v>
      </c>
      <c r="C74" s="1" t="s">
        <v>149</v>
      </c>
      <c r="D74" s="1">
        <v>18.670999999999999</v>
      </c>
      <c r="E74" s="2">
        <v>1</v>
      </c>
      <c r="F74" s="1" t="s">
        <v>159</v>
      </c>
      <c r="G74" s="1" t="s">
        <v>162</v>
      </c>
      <c r="H74" s="1" t="str">
        <f>IF(Table1[[#This Row],[Category]]="BANGLES",MID(Table1[[#This Row],[Variant]],11,1),"-")</f>
        <v>-</v>
      </c>
      <c r="I74" s="3" t="s">
        <v>173</v>
      </c>
      <c r="J74" s="3" t="s">
        <v>166</v>
      </c>
      <c r="K74" s="1" t="s">
        <v>175</v>
      </c>
      <c r="L74" s="1" t="s">
        <v>244</v>
      </c>
    </row>
    <row r="75" spans="1:12">
      <c r="A75" s="5" t="str">
        <f t="shared" si="1"/>
        <v>55W5GP2KT1BAP62BD000002</v>
      </c>
      <c r="B75" s="1" t="s">
        <v>150</v>
      </c>
      <c r="C75" s="1" t="s">
        <v>151</v>
      </c>
      <c r="D75" s="1">
        <v>32.479999999999997</v>
      </c>
      <c r="E75" s="2">
        <v>1</v>
      </c>
      <c r="F75" s="1" t="s">
        <v>159</v>
      </c>
      <c r="G75" s="1" t="s">
        <v>162</v>
      </c>
      <c r="H75" s="1" t="str">
        <f>IF(Table1[[#This Row],[Category]]="BANGLES",MID(Table1[[#This Row],[Variant]],11,1),"-")</f>
        <v>-</v>
      </c>
      <c r="I75" s="3" t="s">
        <v>173</v>
      </c>
      <c r="J75" s="3" t="s">
        <v>166</v>
      </c>
      <c r="K75" s="1" t="s">
        <v>175</v>
      </c>
      <c r="L75" s="1" t="s">
        <v>244</v>
      </c>
    </row>
    <row r="76" spans="1:12">
      <c r="A76" s="5" t="str">
        <f t="shared" si="1"/>
        <v>516061CLMJA2002JA000001</v>
      </c>
      <c r="B76" s="1" t="s">
        <v>185</v>
      </c>
      <c r="C76" s="1" t="s">
        <v>186</v>
      </c>
      <c r="D76" s="4">
        <v>10.025</v>
      </c>
      <c r="E76" s="2">
        <v>1</v>
      </c>
      <c r="F76" s="1" t="s">
        <v>155</v>
      </c>
      <c r="G76" s="1" t="s">
        <v>161</v>
      </c>
      <c r="H76" s="1" t="str">
        <f>IF(Table1[[#This Row],[Category]]="BANGLES",MID(Table1[[#This Row],[Variant]],11,1),"-")</f>
        <v>-</v>
      </c>
      <c r="I76" s="3" t="s">
        <v>236</v>
      </c>
      <c r="J76" s="3" t="s">
        <v>179</v>
      </c>
      <c r="K76" s="1" t="s">
        <v>175</v>
      </c>
      <c r="L76" s="1" t="s">
        <v>244</v>
      </c>
    </row>
    <row r="77" spans="1:12">
      <c r="A77" s="5" t="str">
        <f t="shared" si="1"/>
        <v>51D4I1OGTAAA002JA000026</v>
      </c>
      <c r="B77" s="1" t="s">
        <v>187</v>
      </c>
      <c r="C77" s="1" t="s">
        <v>188</v>
      </c>
      <c r="D77" s="4">
        <v>0.40300000000000002</v>
      </c>
      <c r="E77" s="2">
        <v>1</v>
      </c>
      <c r="F77" s="1" t="s">
        <v>184</v>
      </c>
      <c r="G77" s="1" t="s">
        <v>161</v>
      </c>
      <c r="H77" s="1" t="str">
        <f>IF(Table1[[#This Row],[Category]]="BANGLES",MID(Table1[[#This Row],[Variant]],11,1),"-")</f>
        <v>-</v>
      </c>
      <c r="I77" s="3" t="s">
        <v>237</v>
      </c>
      <c r="J77" s="3" t="s">
        <v>180</v>
      </c>
      <c r="K77" s="1" t="s">
        <v>176</v>
      </c>
      <c r="L77" s="1" t="s">
        <v>244</v>
      </c>
    </row>
    <row r="78" spans="1:12">
      <c r="A78" s="5" t="str">
        <f t="shared" si="1"/>
        <v>51D5C1DGJABA002EA000009</v>
      </c>
      <c r="B78" s="1" t="s">
        <v>189</v>
      </c>
      <c r="C78" s="1" t="s">
        <v>190</v>
      </c>
      <c r="D78" s="4">
        <v>6.9509999999999996</v>
      </c>
      <c r="E78" s="2">
        <v>1</v>
      </c>
      <c r="F78" s="1" t="s">
        <v>245</v>
      </c>
      <c r="G78" s="1" t="s">
        <v>161</v>
      </c>
      <c r="H78" s="1" t="str">
        <f>IF(Table1[[#This Row],[Category]]="BANGLES",MID(Table1[[#This Row],[Variant]],11,1),"-")</f>
        <v>-</v>
      </c>
      <c r="I78" s="3" t="s">
        <v>238</v>
      </c>
      <c r="J78" s="3" t="s">
        <v>181</v>
      </c>
      <c r="K78" s="1" t="s">
        <v>175</v>
      </c>
      <c r="L78" s="1" t="s">
        <v>244</v>
      </c>
    </row>
    <row r="79" spans="1:12">
      <c r="A79" s="5" t="str">
        <f t="shared" si="1"/>
        <v>600102ZKCRAW003IA002295</v>
      </c>
      <c r="B79" s="1" t="s">
        <v>191</v>
      </c>
      <c r="C79" s="1" t="s">
        <v>192</v>
      </c>
      <c r="D79" s="4">
        <v>2</v>
      </c>
      <c r="E79" s="2">
        <v>1</v>
      </c>
      <c r="F79" s="1" t="s">
        <v>152</v>
      </c>
      <c r="G79" s="1" t="s">
        <v>163</v>
      </c>
      <c r="H79" s="1" t="str">
        <f>IF(Table1[[#This Row],[Category]]="BANGLES",MID(Table1[[#This Row],[Variant]],11,1),"-")</f>
        <v>-</v>
      </c>
      <c r="I79" s="3" t="s">
        <v>239</v>
      </c>
      <c r="J79" s="3" t="s">
        <v>181</v>
      </c>
      <c r="K79" s="1" t="s">
        <v>175</v>
      </c>
      <c r="L79" s="1" t="s">
        <v>244</v>
      </c>
    </row>
    <row r="80" spans="1:12">
      <c r="A80" s="5" t="str">
        <f t="shared" si="1"/>
        <v>51D6C3PNCAAA002ED000036</v>
      </c>
      <c r="B80" s="1" t="s">
        <v>193</v>
      </c>
      <c r="C80" s="1" t="s">
        <v>68</v>
      </c>
      <c r="D80" s="4">
        <v>1.355</v>
      </c>
      <c r="E80" s="2">
        <v>1</v>
      </c>
      <c r="F80" s="1" t="s">
        <v>154</v>
      </c>
      <c r="G80" s="1" t="s">
        <v>161</v>
      </c>
      <c r="H80" s="1" t="str">
        <f>IF(Table1[[#This Row],[Category]]="BANGLES",MID(Table1[[#This Row],[Variant]],11,1),"-")</f>
        <v>-</v>
      </c>
      <c r="I80" s="3" t="s">
        <v>238</v>
      </c>
      <c r="J80" s="3" t="s">
        <v>181</v>
      </c>
      <c r="K80" s="1" t="s">
        <v>175</v>
      </c>
      <c r="L80" s="1" t="s">
        <v>244</v>
      </c>
    </row>
    <row r="81" spans="1:12">
      <c r="A81" s="5" t="str">
        <f t="shared" si="1"/>
        <v>51D3D2VSVR2A002EB000077</v>
      </c>
      <c r="B81" s="1" t="s">
        <v>194</v>
      </c>
      <c r="C81" s="1" t="s">
        <v>195</v>
      </c>
      <c r="D81" s="4">
        <v>22.77</v>
      </c>
      <c r="E81" s="2">
        <v>1</v>
      </c>
      <c r="F81" s="1" t="s">
        <v>153</v>
      </c>
      <c r="G81" s="1" t="s">
        <v>161</v>
      </c>
      <c r="H81" s="1" t="str">
        <f>IF(Table1[[#This Row],[Category]]="BANGLES",MID(Table1[[#This Row],[Variant]],11,1),"-")</f>
        <v>2</v>
      </c>
      <c r="I81" s="3" t="s">
        <v>238</v>
      </c>
      <c r="J81" s="3" t="s">
        <v>181</v>
      </c>
      <c r="K81" s="1" t="s">
        <v>175</v>
      </c>
      <c r="L81" s="1" t="s">
        <v>244</v>
      </c>
    </row>
    <row r="82" spans="1:12">
      <c r="A82" s="5" t="str">
        <f t="shared" si="1"/>
        <v>51D5B1VMGR2A002EB000186</v>
      </c>
      <c r="B82" s="1" t="s">
        <v>196</v>
      </c>
      <c r="C82" s="1" t="s">
        <v>197</v>
      </c>
      <c r="D82" s="4">
        <v>14.63</v>
      </c>
      <c r="E82" s="2">
        <v>1</v>
      </c>
      <c r="F82" s="1" t="s">
        <v>153</v>
      </c>
      <c r="G82" s="1" t="s">
        <v>161</v>
      </c>
      <c r="H82" s="1" t="str">
        <f>IF(Table1[[#This Row],[Category]]="BANGLES",MID(Table1[[#This Row],[Variant]],11,1),"-")</f>
        <v>2</v>
      </c>
      <c r="I82" s="3" t="s">
        <v>238</v>
      </c>
      <c r="J82" s="3" t="s">
        <v>181</v>
      </c>
      <c r="K82" s="1" t="s">
        <v>175</v>
      </c>
      <c r="L82" s="1" t="s">
        <v>244</v>
      </c>
    </row>
    <row r="83" spans="1:12">
      <c r="A83" s="5" t="str">
        <f t="shared" si="1"/>
        <v>51D3C3FIUMAA002EB000100</v>
      </c>
      <c r="B83" s="1" t="s">
        <v>198</v>
      </c>
      <c r="C83" s="1" t="s">
        <v>199</v>
      </c>
      <c r="D83" s="4">
        <v>6.2009999999999996</v>
      </c>
      <c r="E83" s="2">
        <v>1</v>
      </c>
      <c r="F83" s="1" t="s">
        <v>157</v>
      </c>
      <c r="G83" s="1" t="s">
        <v>161</v>
      </c>
      <c r="H83" s="1" t="str">
        <f>IF(Table1[[#This Row],[Category]]="BANGLES",MID(Table1[[#This Row],[Variant]],11,1),"-")</f>
        <v>-</v>
      </c>
      <c r="I83" s="3" t="s">
        <v>238</v>
      </c>
      <c r="J83" s="3" t="s">
        <v>181</v>
      </c>
      <c r="K83" s="1" t="s">
        <v>175</v>
      </c>
      <c r="L83" s="1" t="s">
        <v>244</v>
      </c>
    </row>
    <row r="84" spans="1:12">
      <c r="A84" s="5" t="str">
        <f t="shared" si="1"/>
        <v>51D1SCJNIABA002EA000635</v>
      </c>
      <c r="B84" s="1" t="s">
        <v>200</v>
      </c>
      <c r="C84" s="1" t="s">
        <v>201</v>
      </c>
      <c r="D84" s="4">
        <v>4.0190000000000001</v>
      </c>
      <c r="E84" s="2">
        <v>1</v>
      </c>
      <c r="F84" s="1" t="s">
        <v>245</v>
      </c>
      <c r="G84" s="1" t="s">
        <v>161</v>
      </c>
      <c r="H84" s="1" t="str">
        <f>IF(Table1[[#This Row],[Category]]="BANGLES",MID(Table1[[#This Row],[Variant]],11,1),"-")</f>
        <v>-</v>
      </c>
      <c r="I84" s="3" t="s">
        <v>238</v>
      </c>
      <c r="J84" s="3" t="s">
        <v>181</v>
      </c>
      <c r="K84" s="1" t="s">
        <v>175</v>
      </c>
      <c r="L84" s="1" t="s">
        <v>244</v>
      </c>
    </row>
    <row r="85" spans="1:12">
      <c r="A85" s="5" t="str">
        <f t="shared" si="1"/>
        <v>51D5B2FOQLAA002EA000013</v>
      </c>
      <c r="B85" s="1" t="s">
        <v>202</v>
      </c>
      <c r="C85" s="1" t="s">
        <v>203</v>
      </c>
      <c r="D85" s="4">
        <v>2.6669999999999998</v>
      </c>
      <c r="E85" s="2">
        <v>1</v>
      </c>
      <c r="F85" s="1" t="s">
        <v>157</v>
      </c>
      <c r="G85" s="1" t="s">
        <v>161</v>
      </c>
      <c r="H85" s="1" t="str">
        <f>IF(Table1[[#This Row],[Category]]="BANGLES",MID(Table1[[#This Row],[Variant]],11,1),"-")</f>
        <v>-</v>
      </c>
      <c r="I85" s="3" t="s">
        <v>238</v>
      </c>
      <c r="J85" s="3" t="s">
        <v>181</v>
      </c>
      <c r="K85" s="1" t="s">
        <v>175</v>
      </c>
      <c r="L85" s="1" t="s">
        <v>244</v>
      </c>
    </row>
    <row r="86" spans="1:12">
      <c r="A86" s="5" t="str">
        <f t="shared" si="1"/>
        <v>51D3D2BIBBAA002ED000386</v>
      </c>
      <c r="B86" s="1" t="s">
        <v>204</v>
      </c>
      <c r="C86" s="1" t="s">
        <v>205</v>
      </c>
      <c r="D86" s="4">
        <v>9.5579999999999998</v>
      </c>
      <c r="E86" s="2">
        <v>1</v>
      </c>
      <c r="F86" s="1" t="s">
        <v>156</v>
      </c>
      <c r="G86" s="1" t="s">
        <v>161</v>
      </c>
      <c r="H86" s="1" t="str">
        <f>IF(Table1[[#This Row],[Category]]="BANGLES",MID(Table1[[#This Row],[Variant]],11,1),"-")</f>
        <v>-</v>
      </c>
      <c r="I86" s="3" t="s">
        <v>238</v>
      </c>
      <c r="J86" s="3" t="s">
        <v>181</v>
      </c>
      <c r="K86" s="1" t="s">
        <v>175</v>
      </c>
      <c r="L86" s="1" t="s">
        <v>244</v>
      </c>
    </row>
    <row r="87" spans="1:12">
      <c r="A87" s="5" t="str">
        <f t="shared" si="1"/>
        <v>51E5C1FBNKAA002JD000021</v>
      </c>
      <c r="B87" s="1" t="s">
        <v>206</v>
      </c>
      <c r="C87" s="1" t="s">
        <v>207</v>
      </c>
      <c r="D87" s="4">
        <v>3.9889999999999999</v>
      </c>
      <c r="E87" s="2">
        <v>1</v>
      </c>
      <c r="F87" s="1" t="s">
        <v>157</v>
      </c>
      <c r="G87" s="1" t="s">
        <v>161</v>
      </c>
      <c r="H87" s="1" t="str">
        <f>IF(Table1[[#This Row],[Category]]="BANGLES",MID(Table1[[#This Row],[Variant]],11,1),"-")</f>
        <v>-</v>
      </c>
      <c r="I87" s="3" t="s">
        <v>238</v>
      </c>
      <c r="J87" s="3" t="s">
        <v>181</v>
      </c>
      <c r="K87" s="1" t="s">
        <v>175</v>
      </c>
      <c r="L87" s="1" t="s">
        <v>244</v>
      </c>
    </row>
    <row r="88" spans="1:12">
      <c r="A88" s="5" t="str">
        <f t="shared" si="1"/>
        <v>51D6A2VFNS2A002EB000024</v>
      </c>
      <c r="B88" s="1" t="s">
        <v>208</v>
      </c>
      <c r="C88" s="1" t="s">
        <v>209</v>
      </c>
      <c r="D88" s="4">
        <v>19.266999999999999</v>
      </c>
      <c r="E88" s="2">
        <v>1</v>
      </c>
      <c r="F88" s="1" t="s">
        <v>153</v>
      </c>
      <c r="G88" s="1" t="s">
        <v>161</v>
      </c>
      <c r="H88" s="1" t="str">
        <f>IF(Table1[[#This Row],[Category]]="BANGLES",MID(Table1[[#This Row],[Variant]],11,1),"-")</f>
        <v>2</v>
      </c>
      <c r="I88" s="3" t="s">
        <v>238</v>
      </c>
      <c r="J88" s="3" t="s">
        <v>181</v>
      </c>
      <c r="K88" s="1" t="s">
        <v>175</v>
      </c>
      <c r="L88" s="1" t="s">
        <v>244</v>
      </c>
    </row>
    <row r="89" spans="1:12">
      <c r="A89" s="5" t="str">
        <f t="shared" si="1"/>
        <v>51D2A1JVMABA002EB000949</v>
      </c>
      <c r="B89" s="1" t="s">
        <v>210</v>
      </c>
      <c r="C89" s="1" t="s">
        <v>211</v>
      </c>
      <c r="D89" s="4">
        <v>5.9050000000000002</v>
      </c>
      <c r="E89" s="2">
        <v>1</v>
      </c>
      <c r="F89" s="1" t="s">
        <v>245</v>
      </c>
      <c r="G89" s="1" t="s">
        <v>161</v>
      </c>
      <c r="H89" s="1" t="str">
        <f>IF(Table1[[#This Row],[Category]]="BANGLES",MID(Table1[[#This Row],[Variant]],11,1),"-")</f>
        <v>-</v>
      </c>
      <c r="I89" s="3" t="s">
        <v>238</v>
      </c>
      <c r="J89" s="3" t="s">
        <v>181</v>
      </c>
      <c r="K89" s="1" t="s">
        <v>175</v>
      </c>
      <c r="L89" s="1" t="s">
        <v>244</v>
      </c>
    </row>
    <row r="90" spans="1:12">
      <c r="A90" s="5" t="str">
        <f t="shared" si="1"/>
        <v>50D6C5SELAGA002EB000044</v>
      </c>
      <c r="B90" s="1" t="s">
        <v>212</v>
      </c>
      <c r="C90" s="1" t="s">
        <v>213</v>
      </c>
      <c r="D90" s="4">
        <v>3.706</v>
      </c>
      <c r="E90" s="2">
        <v>1</v>
      </c>
      <c r="F90" s="1" t="s">
        <v>245</v>
      </c>
      <c r="G90" s="1" t="s">
        <v>161</v>
      </c>
      <c r="H90" s="1" t="str">
        <f>IF(Table1[[#This Row],[Category]]="BANGLES",MID(Table1[[#This Row],[Variant]],11,1),"-")</f>
        <v>-</v>
      </c>
      <c r="I90" s="3" t="s">
        <v>238</v>
      </c>
      <c r="J90" s="3" t="s">
        <v>181</v>
      </c>
      <c r="K90" s="1" t="s">
        <v>175</v>
      </c>
      <c r="L90" s="1" t="s">
        <v>244</v>
      </c>
    </row>
    <row r="91" spans="1:12">
      <c r="A91" s="5" t="str">
        <f t="shared" si="1"/>
        <v>51D3D2VFWR1A002EB000332</v>
      </c>
      <c r="B91" s="1" t="s">
        <v>214</v>
      </c>
      <c r="C91" s="1" t="s">
        <v>215</v>
      </c>
      <c r="D91" s="4">
        <v>16.260999999999999</v>
      </c>
      <c r="E91" s="2">
        <v>1</v>
      </c>
      <c r="F91" s="1" t="s">
        <v>153</v>
      </c>
      <c r="G91" s="1" t="s">
        <v>161</v>
      </c>
      <c r="H91" s="1" t="str">
        <f>IF(Table1[[#This Row],[Category]]="BANGLES",MID(Table1[[#This Row],[Variant]],11,1),"-")</f>
        <v>1</v>
      </c>
      <c r="I91" s="3" t="s">
        <v>238</v>
      </c>
      <c r="J91" s="3" t="s">
        <v>181</v>
      </c>
      <c r="K91" s="1" t="s">
        <v>175</v>
      </c>
      <c r="L91" s="1" t="s">
        <v>244</v>
      </c>
    </row>
    <row r="92" spans="1:12">
      <c r="A92" s="5" t="str">
        <f t="shared" si="1"/>
        <v>512219VTMQ2B002EB000202</v>
      </c>
      <c r="B92" s="1" t="s">
        <v>216</v>
      </c>
      <c r="C92" s="1" t="s">
        <v>217</v>
      </c>
      <c r="D92" s="4">
        <v>22.007000000000001</v>
      </c>
      <c r="E92" s="2">
        <v>1</v>
      </c>
      <c r="F92" s="1" t="s">
        <v>153</v>
      </c>
      <c r="G92" s="1" t="s">
        <v>161</v>
      </c>
      <c r="H92" s="1" t="str">
        <f>IF(Table1[[#This Row],[Category]]="BANGLES",MID(Table1[[#This Row],[Variant]],11,1),"-")</f>
        <v>2</v>
      </c>
      <c r="I92" s="3" t="s">
        <v>238</v>
      </c>
      <c r="J92" s="3" t="s">
        <v>181</v>
      </c>
      <c r="K92" s="1" t="s">
        <v>175</v>
      </c>
      <c r="L92" s="1" t="s">
        <v>244</v>
      </c>
    </row>
    <row r="93" spans="1:12">
      <c r="A93" s="5" t="str">
        <f t="shared" si="1"/>
        <v>600102ZNARAW003IA002870</v>
      </c>
      <c r="B93" s="1" t="s">
        <v>218</v>
      </c>
      <c r="C93" s="1" t="s">
        <v>219</v>
      </c>
      <c r="D93" s="4">
        <v>1</v>
      </c>
      <c r="E93" s="2">
        <v>1</v>
      </c>
      <c r="F93" s="1" t="s">
        <v>152</v>
      </c>
      <c r="G93" s="1" t="s">
        <v>163</v>
      </c>
      <c r="H93" s="1" t="str">
        <f>IF(Table1[[#This Row],[Category]]="BANGLES",MID(Table1[[#This Row],[Variant]],11,1),"-")</f>
        <v>-</v>
      </c>
      <c r="I93" s="3" t="s">
        <v>239</v>
      </c>
      <c r="J93" s="3" t="s">
        <v>181</v>
      </c>
      <c r="K93" s="1" t="s">
        <v>175</v>
      </c>
      <c r="L93" s="1" t="s">
        <v>244</v>
      </c>
    </row>
    <row r="94" spans="1:12">
      <c r="A94" s="5" t="str">
        <f t="shared" si="1"/>
        <v>51W5C2VRMT2A002EB000023</v>
      </c>
      <c r="B94" s="1" t="s">
        <v>220</v>
      </c>
      <c r="C94" s="1" t="s">
        <v>221</v>
      </c>
      <c r="D94" s="4">
        <v>27.367000000000001</v>
      </c>
      <c r="E94" s="2">
        <v>1</v>
      </c>
      <c r="F94" s="1" t="s">
        <v>153</v>
      </c>
      <c r="G94" s="1" t="s">
        <v>161</v>
      </c>
      <c r="H94" s="1" t="str">
        <f>IF(Table1[[#This Row],[Category]]="BANGLES",MID(Table1[[#This Row],[Variant]],11,1),"-")</f>
        <v>2</v>
      </c>
      <c r="I94" s="3" t="s">
        <v>238</v>
      </c>
      <c r="J94" s="3" t="s">
        <v>181</v>
      </c>
      <c r="K94" s="1" t="s">
        <v>175</v>
      </c>
      <c r="L94" s="1" t="s">
        <v>244</v>
      </c>
    </row>
    <row r="95" spans="1:12">
      <c r="A95" s="5" t="str">
        <f t="shared" si="1"/>
        <v>51D5B2PATAAA002EA000048</v>
      </c>
      <c r="B95" s="1" t="s">
        <v>222</v>
      </c>
      <c r="C95" s="1" t="s">
        <v>223</v>
      </c>
      <c r="D95" s="4">
        <v>4.657</v>
      </c>
      <c r="E95" s="2">
        <v>1</v>
      </c>
      <c r="F95" s="1" t="s">
        <v>154</v>
      </c>
      <c r="G95" s="1" t="s">
        <v>161</v>
      </c>
      <c r="H95" s="1" t="str">
        <f>IF(Table1[[#This Row],[Category]]="BANGLES",MID(Table1[[#This Row],[Variant]],11,1),"-")</f>
        <v>-</v>
      </c>
      <c r="I95" s="3" t="s">
        <v>238</v>
      </c>
      <c r="J95" s="3" t="s">
        <v>181</v>
      </c>
      <c r="K95" s="1" t="s">
        <v>175</v>
      </c>
      <c r="L95" s="1" t="s">
        <v>244</v>
      </c>
    </row>
    <row r="96" spans="1:12">
      <c r="A96" s="5" t="str">
        <f t="shared" si="1"/>
        <v>50D6GPSHPAGA262BD000171</v>
      </c>
      <c r="B96" s="1" t="s">
        <v>224</v>
      </c>
      <c r="C96" s="1" t="s">
        <v>225</v>
      </c>
      <c r="D96" s="4">
        <v>1.542</v>
      </c>
      <c r="E96" s="2">
        <v>1</v>
      </c>
      <c r="F96" s="1" t="s">
        <v>245</v>
      </c>
      <c r="G96" s="1" t="s">
        <v>162</v>
      </c>
      <c r="H96" s="1" t="str">
        <f>IF(Table1[[#This Row],[Category]]="BANGLES",MID(Table1[[#This Row],[Variant]],11,1),"-")</f>
        <v>-</v>
      </c>
      <c r="I96" s="3" t="s">
        <v>238</v>
      </c>
      <c r="J96" s="3" t="s">
        <v>181</v>
      </c>
      <c r="K96" s="1" t="s">
        <v>175</v>
      </c>
      <c r="L96" s="1" t="s">
        <v>244</v>
      </c>
    </row>
    <row r="97" spans="1:12">
      <c r="A97" s="5" t="str">
        <f t="shared" si="1"/>
        <v>511030VICX1N002EA000003</v>
      </c>
      <c r="B97" s="1" t="s">
        <v>226</v>
      </c>
      <c r="C97" s="1" t="s">
        <v>48</v>
      </c>
      <c r="D97" s="4">
        <v>29.678000000000001</v>
      </c>
      <c r="E97" s="2">
        <v>1</v>
      </c>
      <c r="F97" s="1" t="s">
        <v>153</v>
      </c>
      <c r="G97" s="1" t="s">
        <v>161</v>
      </c>
      <c r="H97" s="1" t="str">
        <f>IF(Table1[[#This Row],[Category]]="BANGLES",MID(Table1[[#This Row],[Variant]],11,1),"-")</f>
        <v>1</v>
      </c>
      <c r="I97" s="3" t="s">
        <v>240</v>
      </c>
      <c r="J97" s="3" t="s">
        <v>181</v>
      </c>
      <c r="K97" s="1" t="s">
        <v>175</v>
      </c>
      <c r="L97" s="1" t="s">
        <v>244</v>
      </c>
    </row>
    <row r="98" spans="1:12">
      <c r="A98" s="5" t="str">
        <f t="shared" si="1"/>
        <v>51E5C1FDINAA002JD000006</v>
      </c>
      <c r="B98" s="1" t="s">
        <v>227</v>
      </c>
      <c r="C98" s="1" t="s">
        <v>228</v>
      </c>
      <c r="D98" s="4">
        <v>3.6080000000000001</v>
      </c>
      <c r="E98" s="2">
        <v>1</v>
      </c>
      <c r="F98" s="1" t="s">
        <v>157</v>
      </c>
      <c r="G98" s="1" t="s">
        <v>161</v>
      </c>
      <c r="H98" s="1" t="str">
        <f>IF(Table1[[#This Row],[Category]]="BANGLES",MID(Table1[[#This Row],[Variant]],11,1),"-")</f>
        <v>-</v>
      </c>
      <c r="I98" s="3" t="s">
        <v>238</v>
      </c>
      <c r="J98" s="3" t="s">
        <v>181</v>
      </c>
      <c r="K98" s="1" t="s">
        <v>175</v>
      </c>
      <c r="L98" s="1" t="s">
        <v>244</v>
      </c>
    </row>
    <row r="99" spans="1:12">
      <c r="A99" s="5" t="str">
        <f t="shared" si="1"/>
        <v>51D3B1DVYABAP12EA000643</v>
      </c>
      <c r="B99" s="1" t="s">
        <v>229</v>
      </c>
      <c r="C99" s="1" t="s">
        <v>230</v>
      </c>
      <c r="D99" s="4">
        <v>4.117</v>
      </c>
      <c r="E99" s="2">
        <v>1</v>
      </c>
      <c r="F99" s="1" t="s">
        <v>245</v>
      </c>
      <c r="G99" s="1" t="s">
        <v>161</v>
      </c>
      <c r="H99" s="1" t="str">
        <f>IF(Table1[[#This Row],[Category]]="BANGLES",MID(Table1[[#This Row],[Variant]],11,1),"-")</f>
        <v>-</v>
      </c>
      <c r="I99" s="3" t="s">
        <v>238</v>
      </c>
      <c r="J99" s="3" t="s">
        <v>181</v>
      </c>
      <c r="K99" s="1" t="s">
        <v>175</v>
      </c>
      <c r="L99" s="1" t="s">
        <v>244</v>
      </c>
    </row>
    <row r="100" spans="1:12">
      <c r="A100" s="5" t="str">
        <f t="shared" si="1"/>
        <v>513314DBPABA002EA001704</v>
      </c>
      <c r="B100" s="1" t="s">
        <v>231</v>
      </c>
      <c r="C100" s="1" t="s">
        <v>232</v>
      </c>
      <c r="D100" s="4">
        <v>21.72</v>
      </c>
      <c r="E100" s="2">
        <v>1</v>
      </c>
      <c r="F100" s="1" t="s">
        <v>245</v>
      </c>
      <c r="G100" s="1" t="s">
        <v>161</v>
      </c>
      <c r="H100" s="1" t="str">
        <f>IF(Table1[[#This Row],[Category]]="BANGLES",MID(Table1[[#This Row],[Variant]],11,1),"-")</f>
        <v>-</v>
      </c>
      <c r="I100" s="3" t="s">
        <v>238</v>
      </c>
      <c r="J100" s="3" t="s">
        <v>181</v>
      </c>
      <c r="K100" s="1" t="s">
        <v>175</v>
      </c>
      <c r="L100" s="1" t="s">
        <v>244</v>
      </c>
    </row>
    <row r="101" spans="1:12">
      <c r="A101" s="5" t="str">
        <f t="shared" si="1"/>
        <v>511318FLNMAACZ2EA000400</v>
      </c>
      <c r="B101" s="1" t="s">
        <v>233</v>
      </c>
      <c r="C101" s="1" t="s">
        <v>234</v>
      </c>
      <c r="D101" s="4">
        <v>2.988</v>
      </c>
      <c r="E101" s="2">
        <v>1</v>
      </c>
      <c r="F101" s="1" t="s">
        <v>157</v>
      </c>
      <c r="G101" s="1" t="s">
        <v>161</v>
      </c>
      <c r="H101" s="1" t="str">
        <f>IF(Table1[[#This Row],[Category]]="BANGLES",MID(Table1[[#This Row],[Variant]],11,1),"-")</f>
        <v>-</v>
      </c>
      <c r="I101" s="3" t="s">
        <v>241</v>
      </c>
      <c r="J101" s="3" t="s">
        <v>182</v>
      </c>
      <c r="K101" s="1" t="s">
        <v>177</v>
      </c>
      <c r="L101" s="1" t="s">
        <v>244</v>
      </c>
    </row>
    <row r="102" spans="1:12">
      <c r="A102" s="5" t="str">
        <f t="shared" si="1"/>
        <v>600102ZBARAW003IA706047</v>
      </c>
      <c r="B102" s="1" t="s">
        <v>74</v>
      </c>
      <c r="C102" s="1" t="s">
        <v>235</v>
      </c>
      <c r="D102" s="4">
        <v>10</v>
      </c>
      <c r="E102" s="2">
        <v>1</v>
      </c>
      <c r="F102" s="1" t="s">
        <v>152</v>
      </c>
      <c r="G102" s="1" t="s">
        <v>163</v>
      </c>
      <c r="H102" s="1" t="str">
        <f>IF(Table1[[#This Row],[Category]]="BANGLES",MID(Table1[[#This Row],[Variant]],11,1),"-")</f>
        <v>-</v>
      </c>
      <c r="I102" s="3" t="s">
        <v>242</v>
      </c>
      <c r="J102" s="3" t="s">
        <v>183</v>
      </c>
      <c r="K102" s="1" t="s">
        <v>178</v>
      </c>
      <c r="L102" s="1" t="s">
        <v>244</v>
      </c>
    </row>
  </sheetData>
  <pageMargins left="0.7" right="0.7" top="0.75" bottom="0.75" header="0.3" footer="0.3"/>
  <ignoredErrors>
    <ignoredError sqref="I2:I102 J2:J102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4CA63-38CA-4576-8E84-332556C67EBF}">
  <dimension ref="A3:B24"/>
  <sheetViews>
    <sheetView workbookViewId="0">
      <selection activeCell="A3" sqref="A3"/>
    </sheetView>
  </sheetViews>
  <sheetFormatPr defaultRowHeight="15"/>
  <cols>
    <col min="1" max="1" width="16.140625" bestFit="1" customWidth="1"/>
    <col min="2" max="2" width="11.85546875" bestFit="1" customWidth="1"/>
  </cols>
  <sheetData>
    <row r="3" spans="1:2">
      <c r="A3" s="6" t="s">
        <v>246</v>
      </c>
      <c r="B3" t="s">
        <v>248</v>
      </c>
    </row>
    <row r="4" spans="1:2">
      <c r="A4" s="7" t="s">
        <v>163</v>
      </c>
      <c r="B4" s="9">
        <v>4</v>
      </c>
    </row>
    <row r="5" spans="1:2">
      <c r="A5" s="8" t="s">
        <v>152</v>
      </c>
      <c r="B5" s="9">
        <v>4</v>
      </c>
    </row>
    <row r="6" spans="1:2">
      <c r="A6" s="7" t="s">
        <v>161</v>
      </c>
      <c r="B6" s="9">
        <v>72</v>
      </c>
    </row>
    <row r="7" spans="1:2">
      <c r="A7" s="8" t="s">
        <v>153</v>
      </c>
      <c r="B7" s="9">
        <v>16</v>
      </c>
    </row>
    <row r="8" spans="1:2">
      <c r="A8" s="8" t="s">
        <v>156</v>
      </c>
      <c r="B8" s="9">
        <v>9</v>
      </c>
    </row>
    <row r="9" spans="1:2">
      <c r="A9" s="8" t="s">
        <v>155</v>
      </c>
      <c r="B9" s="9">
        <v>3</v>
      </c>
    </row>
    <row r="10" spans="1:2">
      <c r="A10" s="8" t="s">
        <v>245</v>
      </c>
      <c r="B10" s="9">
        <v>18</v>
      </c>
    </row>
    <row r="11" spans="1:2">
      <c r="A11" s="8" t="s">
        <v>157</v>
      </c>
      <c r="B11" s="9">
        <v>19</v>
      </c>
    </row>
    <row r="12" spans="1:2">
      <c r="A12" s="8" t="s">
        <v>184</v>
      </c>
      <c r="B12" s="9">
        <v>1</v>
      </c>
    </row>
    <row r="13" spans="1:2">
      <c r="A13" s="8" t="s">
        <v>154</v>
      </c>
      <c r="B13" s="9">
        <v>6</v>
      </c>
    </row>
    <row r="14" spans="1:2">
      <c r="A14" s="7" t="s">
        <v>162</v>
      </c>
      <c r="B14" s="9">
        <v>24</v>
      </c>
    </row>
    <row r="15" spans="1:2">
      <c r="A15" s="8" t="s">
        <v>153</v>
      </c>
      <c r="B15" s="9">
        <v>1</v>
      </c>
    </row>
    <row r="16" spans="1:2">
      <c r="A16" s="8" t="s">
        <v>156</v>
      </c>
      <c r="B16" s="9">
        <v>1</v>
      </c>
    </row>
    <row r="17" spans="1:2">
      <c r="A17" s="8" t="s">
        <v>245</v>
      </c>
      <c r="B17" s="9">
        <v>13</v>
      </c>
    </row>
    <row r="18" spans="1:2">
      <c r="A18" s="8" t="s">
        <v>157</v>
      </c>
      <c r="B18" s="9">
        <v>5</v>
      </c>
    </row>
    <row r="19" spans="1:2">
      <c r="A19" s="8" t="s">
        <v>158</v>
      </c>
      <c r="B19" s="9">
        <v>1</v>
      </c>
    </row>
    <row r="20" spans="1:2">
      <c r="A20" s="8" t="s">
        <v>154</v>
      </c>
      <c r="B20" s="9">
        <v>1</v>
      </c>
    </row>
    <row r="21" spans="1:2">
      <c r="A21" s="8" t="s">
        <v>159</v>
      </c>
      <c r="B21" s="9">
        <v>2</v>
      </c>
    </row>
    <row r="22" spans="1:2">
      <c r="A22" s="7" t="s">
        <v>160</v>
      </c>
      <c r="B22" s="9">
        <v>6</v>
      </c>
    </row>
    <row r="23" spans="1:2">
      <c r="A23" s="8" t="s">
        <v>152</v>
      </c>
      <c r="B23" s="9">
        <v>6</v>
      </c>
    </row>
    <row r="24" spans="1:2">
      <c r="A24" s="7" t="s">
        <v>247</v>
      </c>
      <c r="B24" s="9">
        <v>106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Pending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Tanishq, Marthandam. [L2/S1/Kanniyakumari/TN]</cp:lastModifiedBy>
  <dcterms:created xsi:type="dcterms:W3CDTF">2015-06-05T18:17:20Z</dcterms:created>
  <dcterms:modified xsi:type="dcterms:W3CDTF">2026-10-02T06:00:54Z</dcterms:modified>
</cp:coreProperties>
</file>