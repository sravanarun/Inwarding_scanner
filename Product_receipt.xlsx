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BOS\Bos_automation_folder\Sequel\Inwarding\"/>
    </mc:Choice>
  </mc:AlternateContent>
  <xr:revisionPtr revIDLastSave="0" documentId="13_ncr:1_{7975CDD5-BC9A-4930-8D44-D5F246D9AA5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ending" sheetId="1" r:id="rId1"/>
    <sheet name="Report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" i="1"/>
  <c r="A2" i="1"/>
</calcChain>
</file>

<file path=xl/sharedStrings.xml><?xml version="1.0" encoding="utf-8"?>
<sst xmlns="http://schemas.openxmlformats.org/spreadsheetml/2006/main" count="318" uniqueCount="146">
  <si>
    <t>Merge</t>
  </si>
  <si>
    <t>Variant</t>
  </si>
  <si>
    <t>Lotno</t>
  </si>
  <si>
    <t>Weight</t>
  </si>
  <si>
    <t>Category</t>
  </si>
  <si>
    <t>Group</t>
  </si>
  <si>
    <t>STN No</t>
  </si>
  <si>
    <t>Docket No</t>
  </si>
  <si>
    <t>Qnty</t>
  </si>
  <si>
    <t>2ED000004</t>
  </si>
  <si>
    <t>2ED000010</t>
  </si>
  <si>
    <t>2ED000013</t>
  </si>
  <si>
    <t>2JD000025</t>
  </si>
  <si>
    <t>2BD000002</t>
  </si>
  <si>
    <t>COINS</t>
  </si>
  <si>
    <t>BANGLES</t>
  </si>
  <si>
    <t>PENDANT</t>
  </si>
  <si>
    <t>CHAIN</t>
  </si>
  <si>
    <t>BRACELET</t>
  </si>
  <si>
    <t>FINGER RING</t>
  </si>
  <si>
    <t>NECKLACE</t>
  </si>
  <si>
    <t>SetProduct2</t>
  </si>
  <si>
    <t>Silver Coins</t>
  </si>
  <si>
    <t>Gold Plain</t>
  </si>
  <si>
    <t>Gold Studded</t>
  </si>
  <si>
    <t>Gold Coins</t>
  </si>
  <si>
    <t>735496377</t>
  </si>
  <si>
    <t>735498378</t>
  </si>
  <si>
    <t>735501307</t>
  </si>
  <si>
    <t>12916157</t>
  </si>
  <si>
    <t>12917672</t>
  </si>
  <si>
    <t>12920245</t>
  </si>
  <si>
    <t>12922506</t>
  </si>
  <si>
    <t>12922853</t>
  </si>
  <si>
    <t>12917238</t>
  </si>
  <si>
    <t>12915246</t>
  </si>
  <si>
    <t>Location</t>
  </si>
  <si>
    <t>FHJR</t>
  </si>
  <si>
    <t>735811493</t>
  </si>
  <si>
    <t>58930625795</t>
  </si>
  <si>
    <t>735814044</t>
  </si>
  <si>
    <t>58058827971</t>
  </si>
  <si>
    <t>0739227415</t>
  </si>
  <si>
    <t>NOSE PIN</t>
  </si>
  <si>
    <t>2EA000009</t>
  </si>
  <si>
    <t>12928626</t>
  </si>
  <si>
    <t>54</t>
  </si>
  <si>
    <t>12925280</t>
  </si>
  <si>
    <t>12924386</t>
  </si>
  <si>
    <t>12924905</t>
  </si>
  <si>
    <t>107</t>
  </si>
  <si>
    <t>717</t>
  </si>
  <si>
    <t>Scanned</t>
  </si>
  <si>
    <t>No</t>
  </si>
  <si>
    <t>Earring</t>
  </si>
  <si>
    <t>Row Labels</t>
  </si>
  <si>
    <t>Grand Total</t>
  </si>
  <si>
    <t>Sum of Qnty</t>
  </si>
  <si>
    <t>Setof</t>
  </si>
  <si>
    <t>553126DPLAFA09</t>
  </si>
  <si>
    <t>2BD000078</t>
  </si>
  <si>
    <t>DROP EARRING</t>
  </si>
  <si>
    <t>MIA Studded</t>
  </si>
  <si>
    <t>553126HQKAAA09</t>
  </si>
  <si>
    <t>2HD000012</t>
  </si>
  <si>
    <t>HOOP EARRING</t>
  </si>
  <si>
    <t>553126FQFJAA09</t>
  </si>
  <si>
    <t>2HD000017</t>
  </si>
  <si>
    <t>50D5CPCLSKRA00</t>
  </si>
  <si>
    <t>2ED000003</t>
  </si>
  <si>
    <t>514022PQMAAA00</t>
  </si>
  <si>
    <t>2EA000246</t>
  </si>
  <si>
    <t>526062VCAR1A00</t>
  </si>
  <si>
    <t>2ED000005</t>
  </si>
  <si>
    <t>51D6C3BLKBLA00</t>
  </si>
  <si>
    <t>2ED000020</t>
  </si>
  <si>
    <t>553126SPEAFA09</t>
  </si>
  <si>
    <t>2BD000217</t>
  </si>
  <si>
    <t>STUD EARRING</t>
  </si>
  <si>
    <t>553126FPGJAA09</t>
  </si>
  <si>
    <t>2BD000019</t>
  </si>
  <si>
    <t>553126FPJMAA09</t>
  </si>
  <si>
    <t>2BD000052</t>
  </si>
  <si>
    <t>51G6C1FUIRAA00</t>
  </si>
  <si>
    <t>513216CHIGAA00</t>
  </si>
  <si>
    <t>2ED009089</t>
  </si>
  <si>
    <t>51D6C3BLMBLA00</t>
  </si>
  <si>
    <t>2ED000116</t>
  </si>
  <si>
    <t>526062VCHR2A00</t>
  </si>
  <si>
    <t>2ED000086</t>
  </si>
  <si>
    <t>50D5PLHJBAAA2A</t>
  </si>
  <si>
    <t>2JD000111</t>
  </si>
  <si>
    <t>DT - Gold intensive studded</t>
  </si>
  <si>
    <t>51D4C1CBZKAA00</t>
  </si>
  <si>
    <t>553126FPHKAA09</t>
  </si>
  <si>
    <t>513219BUDFAB00</t>
  </si>
  <si>
    <t>2ED001639</t>
  </si>
  <si>
    <t>502213SIFAAA2A</t>
  </si>
  <si>
    <t>2BD000063</t>
  </si>
  <si>
    <t>DT - Gold studded</t>
  </si>
  <si>
    <t>51E5CPFALLAA00</t>
  </si>
  <si>
    <t>2JD000080</t>
  </si>
  <si>
    <t>553126SPDAFA09</t>
  </si>
  <si>
    <t>2BD000321</t>
  </si>
  <si>
    <t>50D5PIPIYAAA00</t>
  </si>
  <si>
    <t>51YA77BGOBAA00</t>
  </si>
  <si>
    <t>553126DPOAFA09</t>
  </si>
  <si>
    <t>2BD000121</t>
  </si>
  <si>
    <t>512217DNCABB00</t>
  </si>
  <si>
    <t>2EB001866</t>
  </si>
  <si>
    <t>51G4B1BETIAA00</t>
  </si>
  <si>
    <t>2EA000119</t>
  </si>
  <si>
    <t>51E5C1FCKOAA00</t>
  </si>
  <si>
    <t>501919CCZEAA00</t>
  </si>
  <si>
    <t>2EA000299</t>
  </si>
  <si>
    <t>50O6PTVICR1A02</t>
  </si>
  <si>
    <t>2BB000012</t>
  </si>
  <si>
    <t>High Value Studded</t>
  </si>
  <si>
    <t>51D5B1VXJQ2A00</t>
  </si>
  <si>
    <t>2ED000018</t>
  </si>
  <si>
    <t>51G6C1FUERAA00</t>
  </si>
  <si>
    <t>55D6FDBIEBAA26</t>
  </si>
  <si>
    <t>2BD000130</t>
  </si>
  <si>
    <t>553126HQJAAA09</t>
  </si>
  <si>
    <t>2HD000072</t>
  </si>
  <si>
    <t>51D6C3VRYP1A00</t>
  </si>
  <si>
    <t>2ED000002</t>
  </si>
  <si>
    <t>50D2P2SOEAGA26</t>
  </si>
  <si>
    <t>2BD000131</t>
  </si>
  <si>
    <t>50D3FFGAVEAA26</t>
  </si>
  <si>
    <t>2BD000010</t>
  </si>
  <si>
    <t>Chain + Pendant</t>
  </si>
  <si>
    <t>Ultra-Low diamond</t>
  </si>
  <si>
    <t>553126HORAAA09</t>
  </si>
  <si>
    <t>2JD000163</t>
  </si>
  <si>
    <t>51G6C1FUFRAA00</t>
  </si>
  <si>
    <t>2ED000011</t>
  </si>
  <si>
    <t>553126HQLAAA09</t>
  </si>
  <si>
    <t>2HD000083</t>
  </si>
  <si>
    <t>51D5B1VXAQ1A00</t>
  </si>
  <si>
    <t>553126HQIAAA09</t>
  </si>
  <si>
    <t>2HD000279</t>
  </si>
  <si>
    <t>50D4B3SMKAGA26</t>
  </si>
  <si>
    <t>2BD000156</t>
  </si>
  <si>
    <t>51D4B3DCWABA00</t>
  </si>
  <si>
    <t>2EB001528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</si>
</sst>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#,##0.00#"/>
  </numFmts>
  <fonts count="2">
    <font>
      <sz val="11"/>
      <color theme="1"/>
      <name val="Calibri"/>
      <family val="2"/>
      <scheme val="minor"/>
    </font>
    <font>
      <sz val="9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numFmt numFmtId="164" formatCode="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numFmt numFmtId="164" formatCode="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numFmt numFmtId="165" formatCode="#,##0.00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ejaVu Sans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6.84040439815" createdVersion="8" refreshedVersion="8" minRefreshableVersion="3" recordCount="101" xr:uid="{C3853F3D-E510-4BC2-B4D5-3D1BFFB387FD}">
  <cacheSource type="worksheet">
    <worksheetSource name="Table1"/>
  </cacheSource>
  <cacheFields count="11">
    <cacheField name="Merge" numFmtId="0">
      <sharedItems/>
    </cacheField>
    <cacheField name="Variant" numFmtId="0">
      <sharedItems/>
    </cacheField>
    <cacheField name="Lotno" numFmtId="0">
      <sharedItems/>
    </cacheField>
    <cacheField name="Weight" numFmtId="0">
      <sharedItems containsSemiMixedTypes="0" containsString="0" containsNumber="1" minValue="0.40300000000000002" maxValue="67.421000000000006"/>
    </cacheField>
    <cacheField name="Qnty" numFmtId="164">
      <sharedItems containsSemiMixedTypes="0" containsString="0" containsNumber="1" containsInteger="1" minValue="1" maxValue="6"/>
    </cacheField>
    <cacheField name="Category" numFmtId="0">
      <sharedItems count="10">
        <s v="COINS"/>
        <s v="BANGLES"/>
        <s v="PENDANT"/>
        <s v="Earring"/>
        <s v="CHAIN"/>
        <s v="BRACELET"/>
        <s v="FINGER RING"/>
        <s v="NECKLACE"/>
        <s v="SetProduct2"/>
        <s v="NOSE PIN"/>
      </sharedItems>
    </cacheField>
    <cacheField name="Group" numFmtId="0">
      <sharedItems count="4">
        <s v="Silver Coins"/>
        <s v="Gold Studded"/>
        <s v="Gold Plain"/>
        <s v="Gold Coins"/>
      </sharedItems>
    </cacheField>
    <cacheField name="STN No" numFmtId="49">
      <sharedItems count="14">
        <s v="12916157"/>
        <s v="12917672"/>
        <s v="12920245"/>
        <s v="12922506"/>
        <s v="12922853"/>
        <s v="12917238"/>
        <s v="12915246"/>
        <s v="12928626"/>
        <s v="54"/>
        <s v="12925280"/>
        <s v="12924386"/>
        <s v="12924905"/>
        <s v="107"/>
        <s v="717"/>
      </sharedItems>
    </cacheField>
    <cacheField name="Docket No" numFmtId="49">
      <sharedItems count="8">
        <s v="735496377"/>
        <s v="735498378"/>
        <s v="735501307"/>
        <s v="735811493"/>
        <s v="58930625795"/>
        <s v="735814044"/>
        <s v="58058827971"/>
        <s v="0739227415"/>
      </sharedItems>
    </cacheField>
    <cacheField name="Location" numFmtId="0">
      <sharedItems/>
    </cacheField>
    <cacheField name="Scann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800102ZFAAAA002EB007657"/>
    <s v="800102ZFAAAA00"/>
    <s v="2EB007657"/>
    <n v="5"/>
    <n v="6"/>
    <x v="0"/>
    <x v="0"/>
    <x v="0"/>
    <x v="0"/>
    <s v="FHJR"/>
    <s v="No"/>
  </r>
  <r>
    <s v="50D4PLVGOE1A082BD000044"/>
    <s v="50D4PLVGOE1A08"/>
    <s v="2BD000044"/>
    <n v="14.493"/>
    <n v="1"/>
    <x v="1"/>
    <x v="1"/>
    <x v="1"/>
    <x v="0"/>
    <s v="FHJR"/>
    <s v="No"/>
  </r>
  <r>
    <s v="50D6C3PNGAAA002ED000004"/>
    <s v="50D6C3PNGAAA00"/>
    <s v="2ED000004"/>
    <n v="2.3820000000000001"/>
    <n v="1"/>
    <x v="2"/>
    <x v="2"/>
    <x v="1"/>
    <x v="0"/>
    <s v="FHJR"/>
    <s v="No"/>
  </r>
  <r>
    <s v="50D6C4JEOAEA002EB000017"/>
    <s v="50D6C4JEOAEA00"/>
    <s v="2EB000017"/>
    <n v="6.8449999999999998"/>
    <n v="1"/>
    <x v="3"/>
    <x v="2"/>
    <x v="1"/>
    <x v="0"/>
    <s v="FHJR"/>
    <s v="No"/>
  </r>
  <r>
    <s v="50D6C4JHOABA002EB000058"/>
    <s v="50D6C4JHOABA00"/>
    <s v="2EB000058"/>
    <n v="9.875"/>
    <n v="1"/>
    <x v="3"/>
    <x v="2"/>
    <x v="1"/>
    <x v="0"/>
    <s v="FHJR"/>
    <s v="No"/>
  </r>
  <r>
    <s v="50D6C4JNFABA002EB000022"/>
    <s v="50D6C4JNFABA00"/>
    <s v="2EB000022"/>
    <n v="11.009"/>
    <n v="1"/>
    <x v="3"/>
    <x v="2"/>
    <x v="1"/>
    <x v="0"/>
    <s v="FHJR"/>
    <s v="No"/>
  </r>
  <r>
    <s v="50D6C4JNTABAP12ED000010"/>
    <s v="50D6C4JNTABAP1"/>
    <s v="2ED000010"/>
    <n v="4.476"/>
    <n v="1"/>
    <x v="3"/>
    <x v="2"/>
    <x v="1"/>
    <x v="0"/>
    <s v="FHJR"/>
    <s v="No"/>
  </r>
  <r>
    <s v="50D6C4JNVABAP12ED000048"/>
    <s v="50D6C4JNVABAP1"/>
    <s v="2ED000048"/>
    <n v="6.6139999999999999"/>
    <n v="1"/>
    <x v="3"/>
    <x v="2"/>
    <x v="1"/>
    <x v="0"/>
    <s v="FHJR"/>
    <s v="No"/>
  </r>
  <r>
    <s v="50D6C4JOFABAP12ED000012"/>
    <s v="50D6C4JOFABAP1"/>
    <s v="2ED000012"/>
    <n v="6.8559999999999999"/>
    <n v="1"/>
    <x v="3"/>
    <x v="2"/>
    <x v="1"/>
    <x v="0"/>
    <s v="FHJR"/>
    <s v="No"/>
  </r>
  <r>
    <s v="50D6C4JOHABAP12ED000027"/>
    <s v="50D6C4JOHABAP1"/>
    <s v="2ED000027"/>
    <n v="5.3070000000000004"/>
    <n v="1"/>
    <x v="3"/>
    <x v="2"/>
    <x v="1"/>
    <x v="0"/>
    <s v="FHJR"/>
    <s v="No"/>
  </r>
  <r>
    <s v="50D6C4SAGABA002EB000089"/>
    <s v="50D6C4SAGABA00"/>
    <s v="2EB000089"/>
    <n v="2.0630000000000002"/>
    <n v="1"/>
    <x v="3"/>
    <x v="2"/>
    <x v="1"/>
    <x v="0"/>
    <s v="FHJR"/>
    <s v="No"/>
  </r>
  <r>
    <s v="50D6C5JDNABA002EB000086"/>
    <s v="50D6C5JDNABA00"/>
    <s v="2EB000086"/>
    <n v="12.05"/>
    <n v="1"/>
    <x v="3"/>
    <x v="2"/>
    <x v="1"/>
    <x v="0"/>
    <s v="FHJR"/>
    <s v="No"/>
  </r>
  <r>
    <s v="511419COCIAA002EA001111"/>
    <s v="511419COCIAA00"/>
    <s v="2EA001111"/>
    <n v="23.873000000000001"/>
    <n v="1"/>
    <x v="4"/>
    <x v="2"/>
    <x v="1"/>
    <x v="0"/>
    <s v="FHJR"/>
    <s v="No"/>
  </r>
  <r>
    <s v="513018BTTBAA002ED002027"/>
    <s v="513018BTTBAA00"/>
    <s v="2ED002027"/>
    <n v="10.69"/>
    <n v="1"/>
    <x v="5"/>
    <x v="2"/>
    <x v="1"/>
    <x v="0"/>
    <s v="FHJR"/>
    <s v="No"/>
  </r>
  <r>
    <s v="51D3C3JKKABA002EB000787"/>
    <s v="51D3C3JKKABA00"/>
    <s v="2EB000787"/>
    <n v="17.137"/>
    <n v="1"/>
    <x v="3"/>
    <x v="2"/>
    <x v="1"/>
    <x v="0"/>
    <s v="FHJR"/>
    <s v="No"/>
  </r>
  <r>
    <s v="51D3C3SJKABA002EB002375"/>
    <s v="51D3C3SJKABA00"/>
    <s v="2EB002375"/>
    <n v="6.5709999999999997"/>
    <n v="1"/>
    <x v="3"/>
    <x v="2"/>
    <x v="1"/>
    <x v="0"/>
    <s v="FHJR"/>
    <s v="No"/>
  </r>
  <r>
    <s v="51D4A1FCZMAA002EB000070"/>
    <s v="51D4A1FCZMAA00"/>
    <s v="2EB000070"/>
    <n v="3.0590000000000002"/>
    <n v="1"/>
    <x v="6"/>
    <x v="2"/>
    <x v="1"/>
    <x v="0"/>
    <s v="FHJR"/>
    <s v="No"/>
  </r>
  <r>
    <s v="51D4B2FHALAA002EA000240"/>
    <s v="51D4B2FHALAA00"/>
    <s v="2EA000240"/>
    <n v="2.2759999999999998"/>
    <n v="1"/>
    <x v="6"/>
    <x v="2"/>
    <x v="1"/>
    <x v="0"/>
    <s v="FHJR"/>
    <s v="No"/>
  </r>
  <r>
    <s v="51D5B1PZSAAA002EA000040"/>
    <s v="51D5B1PZSAAA00"/>
    <s v="2EA000040"/>
    <n v="1.5569999999999999"/>
    <n v="1"/>
    <x v="2"/>
    <x v="2"/>
    <x v="1"/>
    <x v="0"/>
    <s v="FHJR"/>
    <s v="No"/>
  </r>
  <r>
    <s v="51D5D1DDEABA002EA000003"/>
    <s v="51D5D1DDEABA00"/>
    <s v="2EA000003"/>
    <n v="6.1379999999999999"/>
    <n v="1"/>
    <x v="3"/>
    <x v="2"/>
    <x v="1"/>
    <x v="0"/>
    <s v="FHJR"/>
    <s v="No"/>
  </r>
  <r>
    <s v="51D6C3VWYP2A002EB000001"/>
    <s v="51D6C3VWYP2A00"/>
    <s v="2EB000001"/>
    <n v="23.553999999999998"/>
    <n v="1"/>
    <x v="1"/>
    <x v="2"/>
    <x v="1"/>
    <x v="0"/>
    <s v="FHJR"/>
    <s v="No"/>
  </r>
  <r>
    <s v="51E6C1FBBMAA002EB000053"/>
    <s v="51E6C1FBBMAA00"/>
    <s v="2EB000053"/>
    <n v="2.44"/>
    <n v="1"/>
    <x v="6"/>
    <x v="2"/>
    <x v="1"/>
    <x v="0"/>
    <s v="FHJR"/>
    <s v="No"/>
  </r>
  <r>
    <s v="51E6C1FBQNAA002EB000004"/>
    <s v="51E6C1FBQNAA00"/>
    <s v="2EB000004"/>
    <n v="2.73"/>
    <n v="1"/>
    <x v="6"/>
    <x v="2"/>
    <x v="1"/>
    <x v="0"/>
    <s v="FHJR"/>
    <s v="No"/>
  </r>
  <r>
    <s v="51F5KJPCZAAA002EB000051"/>
    <s v="51F5KJPCZAAA00"/>
    <s v="2EB000051"/>
    <n v="2.7170000000000001"/>
    <n v="1"/>
    <x v="2"/>
    <x v="2"/>
    <x v="1"/>
    <x v="0"/>
    <s v="FHJR"/>
    <s v="No"/>
  </r>
  <r>
    <s v="51G6C1FORRAA002EB000042"/>
    <s v="51G6C1FORRAA00"/>
    <s v="2EB000042"/>
    <n v="2.4670000000000001"/>
    <n v="1"/>
    <x v="6"/>
    <x v="2"/>
    <x v="1"/>
    <x v="0"/>
    <s v="FHJR"/>
    <s v="No"/>
  </r>
  <r>
    <s v="51G6C1FSCSAA002EB000039"/>
    <s v="51G6C1FSCSAA00"/>
    <s v="2EB000039"/>
    <n v="3.1320000000000001"/>
    <n v="1"/>
    <x v="6"/>
    <x v="2"/>
    <x v="1"/>
    <x v="0"/>
    <s v="FHJR"/>
    <s v="No"/>
  </r>
  <r>
    <s v="51G6C1FTZRAA002ED000007"/>
    <s v="51G6C1FTZRAA00"/>
    <s v="2ED000007"/>
    <n v="2.93"/>
    <n v="1"/>
    <x v="6"/>
    <x v="2"/>
    <x v="1"/>
    <x v="0"/>
    <s v="FHJR"/>
    <s v="No"/>
  </r>
  <r>
    <s v="51YA77BGPBAA002ED000019"/>
    <s v="51YA77BGPBAA00"/>
    <s v="2ED000019"/>
    <n v="2.8959999999999999"/>
    <n v="1"/>
    <x v="5"/>
    <x v="2"/>
    <x v="1"/>
    <x v="0"/>
    <s v="FHJR"/>
    <s v="No"/>
  </r>
  <r>
    <s v="51YA77BGXBAA002ED000038"/>
    <s v="51YA77BGXBAA00"/>
    <s v="2ED000038"/>
    <n v="4.8"/>
    <n v="1"/>
    <x v="5"/>
    <x v="2"/>
    <x v="1"/>
    <x v="0"/>
    <s v="FHJR"/>
    <s v="No"/>
  </r>
  <r>
    <s v="51YA77BHABAA002ED000036"/>
    <s v="51YA77BHABAA00"/>
    <s v="2ED000036"/>
    <n v="5.47"/>
    <n v="1"/>
    <x v="5"/>
    <x v="2"/>
    <x v="1"/>
    <x v="0"/>
    <s v="FHJR"/>
    <s v="No"/>
  </r>
  <r>
    <s v="51YA77BHHBAA002ED000036"/>
    <s v="51YA77BHHBAA00"/>
    <s v="2ED000036"/>
    <n v="4.359"/>
    <n v="1"/>
    <x v="5"/>
    <x v="2"/>
    <x v="1"/>
    <x v="0"/>
    <s v="FHJR"/>
    <s v="No"/>
  </r>
  <r>
    <s v="51YA77BHKBAA002ED000021"/>
    <s v="51YA77BHKBAA00"/>
    <s v="2ED000021"/>
    <n v="5.1280000000000001"/>
    <n v="1"/>
    <x v="5"/>
    <x v="2"/>
    <x v="1"/>
    <x v="0"/>
    <s v="FHJR"/>
    <s v="No"/>
  </r>
  <r>
    <s v="55O6M2BCNBAA2A2JH000012"/>
    <s v="55O6M2BCNBAA2A"/>
    <s v="2JH000012"/>
    <n v="10.61"/>
    <n v="1"/>
    <x v="5"/>
    <x v="1"/>
    <x v="1"/>
    <x v="0"/>
    <s v="FHJR"/>
    <s v="No"/>
  </r>
  <r>
    <s v="600102ZBARAW003IA706192"/>
    <s v="600102ZBARAW00"/>
    <s v="3IA706192"/>
    <n v="10"/>
    <n v="1"/>
    <x v="0"/>
    <x v="3"/>
    <x v="2"/>
    <x v="0"/>
    <s v="FHJR"/>
    <s v="No"/>
  </r>
  <r>
    <s v="51D4C2VFGQ11002EA000002"/>
    <s v="51D4C2VFGQ1100"/>
    <s v="2EA000002"/>
    <n v="8.5609999999999999"/>
    <n v="1"/>
    <x v="1"/>
    <x v="2"/>
    <x v="3"/>
    <x v="0"/>
    <s v="FHJR"/>
    <s v="No"/>
  </r>
  <r>
    <s v="51G2J1FCQWAS002EA000005"/>
    <s v="51G2J1FCQWAS00"/>
    <s v="2EA000005"/>
    <n v="5.2729999999999997"/>
    <n v="1"/>
    <x v="6"/>
    <x v="2"/>
    <x v="3"/>
    <x v="0"/>
    <s v="FHJR"/>
    <s v="No"/>
  </r>
  <r>
    <s v="51W5C1CQXPWS002EA000001"/>
    <s v="51W5C1CQXPWS00"/>
    <s v="2EA000001"/>
    <n v="67.421000000000006"/>
    <n v="1"/>
    <x v="4"/>
    <x v="2"/>
    <x v="3"/>
    <x v="0"/>
    <s v="FHJR"/>
    <s v="No"/>
  </r>
  <r>
    <s v="51D3D2VSVS2A002EB000065"/>
    <s v="51D3D2VSVS2A00"/>
    <s v="2EB000065"/>
    <n v="23.15"/>
    <n v="1"/>
    <x v="1"/>
    <x v="2"/>
    <x v="4"/>
    <x v="0"/>
    <s v="FHJR"/>
    <s v="No"/>
  </r>
  <r>
    <s v="51PN29VDHV18003IA000001"/>
    <s v="51PN29VDHV1800"/>
    <s v="3IA000001"/>
    <n v="24.35"/>
    <n v="1"/>
    <x v="1"/>
    <x v="2"/>
    <x v="5"/>
    <x v="1"/>
    <s v="FHJR"/>
    <s v="No"/>
  </r>
  <r>
    <s v="50D2J1SBGAGA262BD000022"/>
    <s v="50D2J1SBGAGA26"/>
    <s v="2BD000022"/>
    <n v="1.833"/>
    <n v="1"/>
    <x v="3"/>
    <x v="1"/>
    <x v="6"/>
    <x v="2"/>
    <s v="FHJR"/>
    <s v="No"/>
  </r>
  <r>
    <s v="50D3PTSHFAAA262BD000115"/>
    <s v="50D3PTSHFAAA26"/>
    <s v="2BD000115"/>
    <n v="1.84"/>
    <n v="1"/>
    <x v="3"/>
    <x v="1"/>
    <x v="6"/>
    <x v="2"/>
    <s v="FHJR"/>
    <s v="No"/>
  </r>
  <r>
    <s v="50D4C1FUKKAA022BD000077"/>
    <s v="50D4C1FUKKAA02"/>
    <s v="2BD000077"/>
    <n v="2.3359999999999999"/>
    <n v="1"/>
    <x v="6"/>
    <x v="1"/>
    <x v="6"/>
    <x v="2"/>
    <s v="FHJR"/>
    <s v="No"/>
  </r>
  <r>
    <s v="50D4PLDGGAGA082BD000160"/>
    <s v="50D4PLDGGAGA08"/>
    <s v="2BD000160"/>
    <n v="3.863"/>
    <n v="1"/>
    <x v="3"/>
    <x v="1"/>
    <x v="6"/>
    <x v="2"/>
    <s v="FHJR"/>
    <s v="No"/>
  </r>
  <r>
    <s v="50D5L1SFSAGA262BD000035"/>
    <s v="50D5L1SFSAGA26"/>
    <s v="2BD000035"/>
    <n v="1.87"/>
    <n v="1"/>
    <x v="3"/>
    <x v="1"/>
    <x v="6"/>
    <x v="2"/>
    <s v="FHJR"/>
    <s v="No"/>
  </r>
  <r>
    <s v="50D5PLDUAABA262BD000083"/>
    <s v="50D5PLDUAABA26"/>
    <s v="2BD000083"/>
    <n v="2.3450000000000002"/>
    <n v="1"/>
    <x v="3"/>
    <x v="1"/>
    <x v="6"/>
    <x v="2"/>
    <s v="FHJR"/>
    <s v="No"/>
  </r>
  <r>
    <s v="50D5PLPNKAAA2A2JD000020"/>
    <s v="50D5PLPNKAAA2A"/>
    <s v="2JD000020"/>
    <n v="1.3640000000000001"/>
    <n v="1"/>
    <x v="2"/>
    <x v="1"/>
    <x v="6"/>
    <x v="2"/>
    <s v="FHJR"/>
    <s v="No"/>
  </r>
  <r>
    <s v="50D6PLFEJPAA022BD000013"/>
    <s v="50D6PLFEJPAA02"/>
    <s v="2BD000013"/>
    <n v="2.5449999999999999"/>
    <n v="1"/>
    <x v="6"/>
    <x v="1"/>
    <x v="6"/>
    <x v="2"/>
    <s v="FHJR"/>
    <s v="No"/>
  </r>
  <r>
    <s v="50O5B2NEPDAA082BD000024"/>
    <s v="50O5B2NEPDAA08"/>
    <s v="2BD000024"/>
    <n v="13.185"/>
    <n v="1"/>
    <x v="7"/>
    <x v="1"/>
    <x v="6"/>
    <x v="2"/>
    <s v="FHJR"/>
    <s v="No"/>
  </r>
  <r>
    <s v="51D3D2VCVQ1A002ED000007"/>
    <s v="51D3D2VCVQ1A00"/>
    <s v="2ED000007"/>
    <n v="17.094000000000001"/>
    <n v="1"/>
    <x v="1"/>
    <x v="2"/>
    <x v="6"/>
    <x v="2"/>
    <s v="FHJR"/>
    <s v="No"/>
  </r>
  <r>
    <s v="51D5B1VXAR1A002ED000004"/>
    <s v="51D5B1VXAR1A00"/>
    <s v="2ED000004"/>
    <n v="17.082999999999998"/>
    <n v="1"/>
    <x v="1"/>
    <x v="2"/>
    <x v="6"/>
    <x v="2"/>
    <s v="FHJR"/>
    <s v="No"/>
  </r>
  <r>
    <s v="51D5B1VXBR1A002ED000035"/>
    <s v="51D5B1VXBR1A00"/>
    <s v="2ED000035"/>
    <n v="17.420999999999999"/>
    <n v="1"/>
    <x v="1"/>
    <x v="2"/>
    <x v="6"/>
    <x v="2"/>
    <s v="FHJR"/>
    <s v="No"/>
  </r>
  <r>
    <s v="51D5B1VXBR1A002ED000047"/>
    <s v="51D5B1VXBR1A00"/>
    <s v="2ED000047"/>
    <n v="17.308"/>
    <n v="1"/>
    <x v="1"/>
    <x v="2"/>
    <x v="6"/>
    <x v="2"/>
    <s v="FHJR"/>
    <s v="No"/>
  </r>
  <r>
    <s v="51E5PLFBATAA002ED000129"/>
    <s v="51E5PLFBATAA00"/>
    <s v="2ED000129"/>
    <n v="4.1040000000000001"/>
    <n v="1"/>
    <x v="6"/>
    <x v="2"/>
    <x v="6"/>
    <x v="2"/>
    <s v="FHJR"/>
    <s v="No"/>
  </r>
  <r>
    <s v="51E5PLFBDTAA002ED000150"/>
    <s v="51E5PLFBDTAA00"/>
    <s v="2ED000150"/>
    <n v="3.7759999999999998"/>
    <n v="1"/>
    <x v="6"/>
    <x v="2"/>
    <x v="6"/>
    <x v="2"/>
    <s v="FHJR"/>
    <s v="No"/>
  </r>
  <r>
    <s v="51E5PLFBETAA002ED000108"/>
    <s v="51E5PLFBETAA00"/>
    <s v="2ED000108"/>
    <n v="3.4750000000000001"/>
    <n v="1"/>
    <x v="6"/>
    <x v="2"/>
    <x v="6"/>
    <x v="2"/>
    <s v="FHJR"/>
    <s v="No"/>
  </r>
  <r>
    <s v="51E5PLFBVNAA002ED000158"/>
    <s v="51E5PLFBVNAA00"/>
    <s v="2ED000158"/>
    <n v="2.8260000000000001"/>
    <n v="1"/>
    <x v="6"/>
    <x v="2"/>
    <x v="6"/>
    <x v="2"/>
    <s v="FHJR"/>
    <s v="No"/>
  </r>
  <r>
    <s v="51E6B1FCQTAA002ED000030"/>
    <s v="51E6B1FCQTAA00"/>
    <s v="2ED000030"/>
    <n v="4.3"/>
    <n v="1"/>
    <x v="6"/>
    <x v="2"/>
    <x v="6"/>
    <x v="2"/>
    <s v="FHJR"/>
    <s v="No"/>
  </r>
  <r>
    <s v="51F6C1POMAAA002ED000038"/>
    <s v="51F6C1POMAAA00"/>
    <s v="2ED000038"/>
    <n v="2.0990000000000002"/>
    <n v="1"/>
    <x v="2"/>
    <x v="2"/>
    <x v="6"/>
    <x v="2"/>
    <s v="FHJR"/>
    <s v="No"/>
  </r>
  <r>
    <s v="51G6C1FTVRAA002ED000045"/>
    <s v="51G6C1FTVRAA00"/>
    <s v="2ED000045"/>
    <n v="3.6419999999999999"/>
    <n v="1"/>
    <x v="6"/>
    <x v="2"/>
    <x v="6"/>
    <x v="2"/>
    <s v="FHJR"/>
    <s v="No"/>
  </r>
  <r>
    <s v="51YA77BHDBAA002ED000013"/>
    <s v="51YA77BHDBAA00"/>
    <s v="2ED000013"/>
    <n v="5.7140000000000004"/>
    <n v="1"/>
    <x v="5"/>
    <x v="2"/>
    <x v="6"/>
    <x v="2"/>
    <s v="FHJR"/>
    <s v="No"/>
  </r>
  <r>
    <s v="51YA77BHFBAA002ED000022"/>
    <s v="51YA77BHFBAA00"/>
    <s v="2ED000022"/>
    <n v="5.17"/>
    <n v="1"/>
    <x v="5"/>
    <x v="2"/>
    <x v="6"/>
    <x v="2"/>
    <s v="FHJR"/>
    <s v="No"/>
  </r>
  <r>
    <s v="526062VBDR1A002ED000076"/>
    <s v="526062VBDR1A00"/>
    <s v="2ED000076"/>
    <n v="21.975000000000001"/>
    <n v="1"/>
    <x v="1"/>
    <x v="2"/>
    <x v="6"/>
    <x v="2"/>
    <s v="FHJR"/>
    <s v="No"/>
  </r>
  <r>
    <s v="553126DOVAFA092JD000095"/>
    <s v="553126DOVAFA09"/>
    <s v="2JD000095"/>
    <n v="1.881"/>
    <n v="1"/>
    <x v="3"/>
    <x v="1"/>
    <x v="6"/>
    <x v="2"/>
    <s v="FHJR"/>
    <s v="No"/>
  </r>
  <r>
    <s v="553126FERMAA092JD000025"/>
    <s v="553126FERMAA09"/>
    <s v="2JD000025"/>
    <n v="2.226"/>
    <n v="1"/>
    <x v="6"/>
    <x v="1"/>
    <x v="6"/>
    <x v="2"/>
    <s v="FHJR"/>
    <s v="No"/>
  </r>
  <r>
    <s v="553126FFBMAA092JD000048"/>
    <s v="553126FFBMAA09"/>
    <s v="2JD000048"/>
    <n v="1.8620000000000001"/>
    <n v="1"/>
    <x v="6"/>
    <x v="1"/>
    <x v="6"/>
    <x v="2"/>
    <s v="FHJR"/>
    <s v="No"/>
  </r>
  <r>
    <s v="553126FQHOAA092HD000005"/>
    <s v="553126FQHOAA09"/>
    <s v="2HD000005"/>
    <n v="1.8320000000000001"/>
    <n v="1"/>
    <x v="6"/>
    <x v="1"/>
    <x v="6"/>
    <x v="2"/>
    <s v="FHJR"/>
    <s v="No"/>
  </r>
  <r>
    <s v="553126HFDAAA092JD000276"/>
    <s v="553126HFDAAA09"/>
    <s v="2JD000276"/>
    <n v="2.3450000000000002"/>
    <n v="1"/>
    <x v="3"/>
    <x v="1"/>
    <x v="6"/>
    <x v="2"/>
    <s v="FHJR"/>
    <s v="No"/>
  </r>
  <r>
    <s v="553126HFIAAA092JD000151"/>
    <s v="553126HFIAAA09"/>
    <s v="2JD000151"/>
    <n v="3.2530000000000001"/>
    <n v="1"/>
    <x v="3"/>
    <x v="1"/>
    <x v="6"/>
    <x v="2"/>
    <s v="FHJR"/>
    <s v="No"/>
  </r>
  <r>
    <s v="553126HOQAAA092JD000105"/>
    <s v="553126HOQAAA09"/>
    <s v="2JD000105"/>
    <n v="1.637"/>
    <n v="1"/>
    <x v="3"/>
    <x v="1"/>
    <x v="6"/>
    <x v="2"/>
    <s v="FHJR"/>
    <s v="No"/>
  </r>
  <r>
    <s v="553126SOPAFA092JD000157"/>
    <s v="553126SOPAFA09"/>
    <s v="2JD000157"/>
    <n v="1.4970000000000001"/>
    <n v="1"/>
    <x v="3"/>
    <x v="1"/>
    <x v="6"/>
    <x v="2"/>
    <s v="FHJR"/>
    <s v="No"/>
  </r>
  <r>
    <s v="553126SPFAFA092BD000308"/>
    <s v="553126SPFAFA09"/>
    <s v="2BD000308"/>
    <n v="1.21"/>
    <n v="1"/>
    <x v="3"/>
    <x v="1"/>
    <x v="6"/>
    <x v="2"/>
    <s v="FHJR"/>
    <s v="No"/>
  </r>
  <r>
    <s v="553126SPKAFA092BD000120"/>
    <s v="553126SPKAFA09"/>
    <s v="2BD000120"/>
    <n v="1.0980000000000001"/>
    <n v="1"/>
    <x v="3"/>
    <x v="1"/>
    <x v="6"/>
    <x v="2"/>
    <s v="FHJR"/>
    <s v="No"/>
  </r>
  <r>
    <s v="55O5V32HHABAP62BD000004"/>
    <s v="55O5V32HHABAP6"/>
    <s v="2BD000004"/>
    <n v="18.670999999999999"/>
    <n v="1"/>
    <x v="8"/>
    <x v="1"/>
    <x v="6"/>
    <x v="2"/>
    <s v="FHJR"/>
    <s v="No"/>
  </r>
  <r>
    <s v="55W5GP2KT1BAP62BD000002"/>
    <s v="55W5GP2KT1BAP6"/>
    <s v="2BD000002"/>
    <n v="32.479999999999997"/>
    <n v="1"/>
    <x v="8"/>
    <x v="1"/>
    <x v="6"/>
    <x v="2"/>
    <s v="FHJR"/>
    <s v="No"/>
  </r>
  <r>
    <s v="516061CLMJA2002JA000001"/>
    <s v="516061CLMJA200"/>
    <s v="2JA000001"/>
    <n v="10.025"/>
    <n v="1"/>
    <x v="4"/>
    <x v="2"/>
    <x v="7"/>
    <x v="3"/>
    <s v="FHJR"/>
    <s v="No"/>
  </r>
  <r>
    <s v="51D4I1OGTAAA002JA000026"/>
    <s v="51D4I1OGTAAA00"/>
    <s v="2JA000026"/>
    <n v="0.40300000000000002"/>
    <n v="1"/>
    <x v="9"/>
    <x v="2"/>
    <x v="8"/>
    <x v="4"/>
    <s v="DVR"/>
    <s v="No"/>
  </r>
  <r>
    <s v="51D5C1DGJABA002EA000009"/>
    <s v="51D5C1DGJABA00"/>
    <s v="2EA000009"/>
    <n v="6.9509999999999996"/>
    <n v="1"/>
    <x v="3"/>
    <x v="2"/>
    <x v="9"/>
    <x v="5"/>
    <s v="FHJR"/>
    <s v="No"/>
  </r>
  <r>
    <s v="600102ZKCRAW003IA002295"/>
    <s v="600102ZKCRAW00"/>
    <s v="3IA002295"/>
    <n v="2"/>
    <n v="1"/>
    <x v="0"/>
    <x v="3"/>
    <x v="10"/>
    <x v="5"/>
    <s v="FHJR"/>
    <s v="No"/>
  </r>
  <r>
    <s v="51D6C3PNCAAA002ED000036"/>
    <s v="51D6C3PNCAAA00"/>
    <s v="2ED000036"/>
    <n v="1.355"/>
    <n v="1"/>
    <x v="2"/>
    <x v="2"/>
    <x v="9"/>
    <x v="5"/>
    <s v="FHJR"/>
    <s v="No"/>
  </r>
  <r>
    <s v="51D3D2VSVR2A002EB000077"/>
    <s v="51D3D2VSVR2A00"/>
    <s v="2EB000077"/>
    <n v="22.77"/>
    <n v="1"/>
    <x v="1"/>
    <x v="2"/>
    <x v="9"/>
    <x v="5"/>
    <s v="FHJR"/>
    <s v="No"/>
  </r>
  <r>
    <s v="51D5B1VMGR2A002EB000186"/>
    <s v="51D5B1VMGR2A00"/>
    <s v="2EB000186"/>
    <n v="14.63"/>
    <n v="1"/>
    <x v="1"/>
    <x v="2"/>
    <x v="9"/>
    <x v="5"/>
    <s v="FHJR"/>
    <s v="No"/>
  </r>
  <r>
    <s v="51D3C3FIUMAA002EB000100"/>
    <s v="51D3C3FIUMAA00"/>
    <s v="2EB000100"/>
    <n v="6.2009999999999996"/>
    <n v="1"/>
    <x v="6"/>
    <x v="2"/>
    <x v="9"/>
    <x v="5"/>
    <s v="FHJR"/>
    <s v="No"/>
  </r>
  <r>
    <s v="51D1SCJNIABA002EA000635"/>
    <s v="51D1SCJNIABA00"/>
    <s v="2EA000635"/>
    <n v="4.0190000000000001"/>
    <n v="1"/>
    <x v="3"/>
    <x v="2"/>
    <x v="9"/>
    <x v="5"/>
    <s v="FHJR"/>
    <s v="No"/>
  </r>
  <r>
    <s v="51D5B2FOQLAA002EA000013"/>
    <s v="51D5B2FOQLAA00"/>
    <s v="2EA000013"/>
    <n v="2.6669999999999998"/>
    <n v="1"/>
    <x v="6"/>
    <x v="2"/>
    <x v="9"/>
    <x v="5"/>
    <s v="FHJR"/>
    <s v="No"/>
  </r>
  <r>
    <s v="51D3D2BIBBAA002ED000386"/>
    <s v="51D3D2BIBBAA00"/>
    <s v="2ED000386"/>
    <n v="9.5579999999999998"/>
    <n v="1"/>
    <x v="5"/>
    <x v="2"/>
    <x v="9"/>
    <x v="5"/>
    <s v="FHJR"/>
    <s v="No"/>
  </r>
  <r>
    <s v="51E5C1FBNKAA002JD000021"/>
    <s v="51E5C1FBNKAA00"/>
    <s v="2JD000021"/>
    <n v="3.9889999999999999"/>
    <n v="1"/>
    <x v="6"/>
    <x v="2"/>
    <x v="9"/>
    <x v="5"/>
    <s v="FHJR"/>
    <s v="No"/>
  </r>
  <r>
    <s v="51D6A2VFNS2A002EB000024"/>
    <s v="51D6A2VFNS2A00"/>
    <s v="2EB000024"/>
    <n v="19.266999999999999"/>
    <n v="1"/>
    <x v="1"/>
    <x v="2"/>
    <x v="9"/>
    <x v="5"/>
    <s v="FHJR"/>
    <s v="No"/>
  </r>
  <r>
    <s v="51D2A1JVMABA002EB000949"/>
    <s v="51D2A1JVMABA00"/>
    <s v="2EB000949"/>
    <n v="5.9050000000000002"/>
    <n v="1"/>
    <x v="3"/>
    <x v="2"/>
    <x v="9"/>
    <x v="5"/>
    <s v="FHJR"/>
    <s v="No"/>
  </r>
  <r>
    <s v="50D6C5SELAGA002EB000044"/>
    <s v="50D6C5SELAGA00"/>
    <s v="2EB000044"/>
    <n v="3.706"/>
    <n v="1"/>
    <x v="3"/>
    <x v="2"/>
    <x v="9"/>
    <x v="5"/>
    <s v="FHJR"/>
    <s v="No"/>
  </r>
  <r>
    <s v="51D3D2VFWR1A002EB000332"/>
    <s v="51D3D2VFWR1A00"/>
    <s v="2EB000332"/>
    <n v="16.260999999999999"/>
    <n v="1"/>
    <x v="1"/>
    <x v="2"/>
    <x v="9"/>
    <x v="5"/>
    <s v="FHJR"/>
    <s v="No"/>
  </r>
  <r>
    <s v="512219VTMQ2B002EB000202"/>
    <s v="512219VTMQ2B00"/>
    <s v="2EB000202"/>
    <n v="22.007000000000001"/>
    <n v="1"/>
    <x v="1"/>
    <x v="2"/>
    <x v="9"/>
    <x v="5"/>
    <s v="FHJR"/>
    <s v="No"/>
  </r>
  <r>
    <s v="600102ZNARAW003IA002870"/>
    <s v="600102ZNARAW00"/>
    <s v="3IA002870"/>
    <n v="1"/>
    <n v="1"/>
    <x v="0"/>
    <x v="3"/>
    <x v="10"/>
    <x v="5"/>
    <s v="FHJR"/>
    <s v="No"/>
  </r>
  <r>
    <s v="51W5C2VRMT2A002EB000023"/>
    <s v="51W5C2VRMT2A00"/>
    <s v="2EB000023"/>
    <n v="27.367000000000001"/>
    <n v="1"/>
    <x v="1"/>
    <x v="2"/>
    <x v="9"/>
    <x v="5"/>
    <s v="FHJR"/>
    <s v="No"/>
  </r>
  <r>
    <s v="51D5B2PATAAA002EA000048"/>
    <s v="51D5B2PATAAA00"/>
    <s v="2EA000048"/>
    <n v="4.657"/>
    <n v="1"/>
    <x v="2"/>
    <x v="2"/>
    <x v="9"/>
    <x v="5"/>
    <s v="FHJR"/>
    <s v="No"/>
  </r>
  <r>
    <s v="50D6GPSHPAGA262BD000171"/>
    <s v="50D6GPSHPAGA26"/>
    <s v="2BD000171"/>
    <n v="1.542"/>
    <n v="1"/>
    <x v="3"/>
    <x v="1"/>
    <x v="9"/>
    <x v="5"/>
    <s v="FHJR"/>
    <s v="No"/>
  </r>
  <r>
    <s v="511030VICX1N002EA000003"/>
    <s v="511030VICX1N00"/>
    <s v="2EA000003"/>
    <n v="29.678000000000001"/>
    <n v="1"/>
    <x v="1"/>
    <x v="2"/>
    <x v="11"/>
    <x v="5"/>
    <s v="FHJR"/>
    <s v="No"/>
  </r>
  <r>
    <s v="51E5C1FDINAA002JD000006"/>
    <s v="51E5C1FDINAA00"/>
    <s v="2JD000006"/>
    <n v="3.6080000000000001"/>
    <n v="1"/>
    <x v="6"/>
    <x v="2"/>
    <x v="9"/>
    <x v="5"/>
    <s v="FHJR"/>
    <s v="No"/>
  </r>
  <r>
    <s v="51D3B1DVYABAP12EA000643"/>
    <s v="51D3B1DVYABAP1"/>
    <s v="2EA000643"/>
    <n v="4.117"/>
    <n v="1"/>
    <x v="3"/>
    <x v="2"/>
    <x v="9"/>
    <x v="5"/>
    <s v="FHJR"/>
    <s v="No"/>
  </r>
  <r>
    <s v="513314DBPABA002EA001704"/>
    <s v="513314DBPABA00"/>
    <s v="2EA001704"/>
    <n v="21.72"/>
    <n v="1"/>
    <x v="3"/>
    <x v="2"/>
    <x v="9"/>
    <x v="5"/>
    <s v="FHJR"/>
    <s v="No"/>
  </r>
  <r>
    <s v="511318FLNMAACZ2EA000400"/>
    <s v="511318FLNMAACZ"/>
    <s v="2EA000400"/>
    <n v="2.988"/>
    <n v="1"/>
    <x v="6"/>
    <x v="2"/>
    <x v="12"/>
    <x v="6"/>
    <s v="POL"/>
    <s v="No"/>
  </r>
  <r>
    <s v="600102ZBARAW003IA706047"/>
    <s v="600102ZBARAW00"/>
    <s v="3IA706047"/>
    <n v="10"/>
    <n v="1"/>
    <x v="0"/>
    <x v="3"/>
    <x v="13"/>
    <x v="7"/>
    <s v="THE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9F110-3220-4C03-B9B1-C0DCE14837B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6" firstHeaderRow="1" firstDataRow="1" firstDataCol="1"/>
  <pivotFields count="11">
    <pivotField showAll="0"/>
    <pivotField showAll="0"/>
    <pivotField showAll="0"/>
    <pivotField showAll="0"/>
    <pivotField dataField="1" numFmtId="164" showAll="0"/>
    <pivotField showAll="0">
      <items count="11">
        <item x="1"/>
        <item x="5"/>
        <item x="4"/>
        <item x="0"/>
        <item x="3"/>
        <item x="6"/>
        <item x="7"/>
        <item x="9"/>
        <item x="2"/>
        <item x="8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axis="axisRow" showAll="0">
      <items count="15">
        <item x="12"/>
        <item x="6"/>
        <item x="0"/>
        <item x="5"/>
        <item x="1"/>
        <item x="2"/>
        <item x="3"/>
        <item x="4"/>
        <item x="10"/>
        <item x="11"/>
        <item x="9"/>
        <item x="7"/>
        <item x="8"/>
        <item x="13"/>
        <item t="default"/>
      </items>
    </pivotField>
    <pivotField axis="axisRow" showAll="0">
      <items count="9">
        <item x="7"/>
        <item x="6"/>
        <item x="4"/>
        <item x="0"/>
        <item x="1"/>
        <item x="2"/>
        <item x="3"/>
        <item x="5"/>
        <item t="default"/>
      </items>
    </pivotField>
    <pivotField showAll="0"/>
    <pivotField showAll="0"/>
  </pivotFields>
  <rowFields count="2">
    <field x="8"/>
    <field x="7"/>
  </rowFields>
  <rowItems count="23">
    <i>
      <x/>
    </i>
    <i r="1">
      <x v="13"/>
    </i>
    <i>
      <x v="1"/>
    </i>
    <i r="1">
      <x/>
    </i>
    <i>
      <x v="2"/>
    </i>
    <i r="1">
      <x v="12"/>
    </i>
    <i>
      <x v="3"/>
    </i>
    <i r="1">
      <x v="2"/>
    </i>
    <i r="1">
      <x v="4"/>
    </i>
    <i r="1">
      <x v="5"/>
    </i>
    <i r="1">
      <x v="6"/>
    </i>
    <i r="1">
      <x v="7"/>
    </i>
    <i>
      <x v="4"/>
    </i>
    <i r="1">
      <x v="3"/>
    </i>
    <i>
      <x v="5"/>
    </i>
    <i r="1">
      <x v="1"/>
    </i>
    <i>
      <x v="6"/>
    </i>
    <i r="1">
      <x v="11"/>
    </i>
    <i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Qn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A2E91-C2E9-4B95-9E85-17E04B64EA2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1">
    <pivotField showAll="0"/>
    <pivotField showAll="0"/>
    <pivotField showAll="0"/>
    <pivotField showAll="0"/>
    <pivotField dataField="1" numFmtId="164" showAll="0"/>
    <pivotField axis="axisRow" showAll="0">
      <items count="11">
        <item x="1"/>
        <item x="5"/>
        <item x="4"/>
        <item x="0"/>
        <item x="3"/>
        <item x="6"/>
        <item x="7"/>
        <item x="9"/>
        <item x="2"/>
        <item x="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6"/>
    <field x="5"/>
  </rowFields>
  <rowItems count="21">
    <i>
      <x/>
    </i>
    <i r="1">
      <x v="3"/>
    </i>
    <i>
      <x v="1"/>
    </i>
    <i r="1">
      <x/>
    </i>
    <i r="1">
      <x v="1"/>
    </i>
    <i r="1">
      <x v="2"/>
    </i>
    <i r="1">
      <x v="4"/>
    </i>
    <i r="1">
      <x v="5"/>
    </i>
    <i r="1">
      <x v="7"/>
    </i>
    <i r="1">
      <x v="8"/>
    </i>
    <i>
      <x v="2"/>
    </i>
    <i r="1">
      <x/>
    </i>
    <i r="1">
      <x v="1"/>
    </i>
    <i r="1">
      <x v="4"/>
    </i>
    <i r="1">
      <x v="5"/>
    </i>
    <i r="1">
      <x v="6"/>
    </i>
    <i r="1">
      <x v="8"/>
    </i>
    <i r="1">
      <x v="9"/>
    </i>
    <i>
      <x v="3"/>
    </i>
    <i r="1">
      <x v="3"/>
    </i>
    <i t="grand">
      <x/>
    </i>
  </rowItems>
  <colItems count="1">
    <i/>
  </colItems>
  <dataFields count="1">
    <dataField name="Sum of Qn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57A1A-D020-42BA-A734-2BC47AB868B0}" name="Table1" displayName="Table1" ref="A1:L44" totalsRowShown="0" headerRowDxfId="13" dataDxfId="12">
  <autoFilter ref="A1:L44" xr:uid="{B8457A1A-D020-42BA-A734-2BC47AB868B0}"/>
  <tableColumns count="12">
    <tableColumn id="1" xr3:uid="{29771C41-889C-4F5A-A1F6-F3808A909221}" name="Merge" dataDxfId="11">
      <calculatedColumnFormula>B2&amp;C2</calculatedColumnFormula>
    </tableColumn>
    <tableColumn id="2" xr3:uid="{0E5E51F9-7DF3-4A06-ABB5-1C9EE9C0B984}" name="Variant" dataDxfId="8"/>
    <tableColumn id="3" xr3:uid="{37A53022-2BBA-4F86-BC3C-E96E1BF3EF61}" name="Lotno" dataDxfId="7"/>
    <tableColumn id="4" xr3:uid="{B0E5CF1A-A0EB-47B8-9BEF-E65310A41877}" name="Weight" dataDxfId="6"/>
    <tableColumn id="5" xr3:uid="{1E505F17-1C6C-4339-81D4-ED9E6D26DCAA}" name="Qnty" dataDxfId="5"/>
    <tableColumn id="6" xr3:uid="{A7E3A8A6-165F-49C7-83A6-A49671B70463}" name="Category" dataDxfId="4"/>
    <tableColumn id="7" xr3:uid="{29974179-8C32-47F3-A080-828F7A674B39}" name="Group" dataDxfId="3"/>
    <tableColumn id="14" xr3:uid="{12B03CAB-8CFA-426E-BEE9-2B5D2ED8C0C1}" name="Setof" dataDxfId="10">
      <calculatedColumnFormula>IF(Table1[[#This Row],[Category]]="BANGLES",MID(Table1[[#This Row],[Variant]],11,1),"-")</calculatedColumnFormula>
    </tableColumn>
    <tableColumn id="8" xr3:uid="{43F177D7-8C5C-46D2-8D5D-B97D3143F0BA}" name="STN No" dataDxfId="2"/>
    <tableColumn id="9" xr3:uid="{89E05842-41EE-4B17-99BF-DB4D593AF1A9}" name="Docket No" dataDxfId="1"/>
    <tableColumn id="10" xr3:uid="{385E0345-2BD6-449B-A9F7-1858BDA839F6}" name="Location" dataDxfId="0"/>
    <tableColumn id="13" xr3:uid="{D0956576-DD2C-4FC5-8A45-37075A92EB26}" name="Scanned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L1" sqref="L1"/>
    </sheetView>
  </sheetViews>
  <sheetFormatPr defaultRowHeight="15"/>
  <cols>
    <col min="1" max="1" width="27.5703125" bestFit="1" customWidth="1"/>
    <col min="2" max="2" width="17.5703125" bestFit="1" customWidth="1"/>
    <col min="3" max="3" width="10.5703125" bestFit="1" customWidth="1"/>
    <col min="4" max="4" width="9.7109375" customWidth="1"/>
    <col min="5" max="5" width="7.42578125" customWidth="1"/>
    <col min="6" max="6" width="14.28515625" bestFit="1" customWidth="1"/>
    <col min="7" max="7" width="23.140625" bestFit="1" customWidth="1"/>
    <col min="8" max="8" width="9.5703125" customWidth="1"/>
    <col min="9" max="9" width="12.28515625" customWidth="1"/>
    <col min="10" max="10" width="10.5703125" customWidth="1"/>
    <col min="12" max="12" width="10.28515625" bestFit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4</v>
      </c>
      <c r="G1" s="4" t="s">
        <v>5</v>
      </c>
      <c r="H1" s="4" t="s">
        <v>58</v>
      </c>
      <c r="I1" s="4" t="s">
        <v>6</v>
      </c>
      <c r="J1" s="4" t="s">
        <v>7</v>
      </c>
      <c r="K1" s="4" t="s">
        <v>36</v>
      </c>
      <c r="L1" s="4" t="s">
        <v>52</v>
      </c>
    </row>
    <row r="2" spans="1:12">
      <c r="A2" s="4" t="str">
        <f>B2&amp;C2</f>
        <v>553126DPLAFA092BD000078</v>
      </c>
      <c r="B2" s="1" t="s">
        <v>59</v>
      </c>
      <c r="C2" s="1" t="s">
        <v>60</v>
      </c>
      <c r="D2" s="3">
        <v>1.8759999999999999</v>
      </c>
      <c r="E2" s="2">
        <v>1</v>
      </c>
      <c r="F2" s="1" t="s">
        <v>61</v>
      </c>
      <c r="G2" s="1" t="s">
        <v>62</v>
      </c>
      <c r="H2" s="1" t="str">
        <f>IF(Table1[[#This Row],[Category]]="BANGLES",MID(Table1[[#This Row],[Variant]],11,1),"-")</f>
        <v>-</v>
      </c>
      <c r="I2" s="2">
        <v>12929328</v>
      </c>
      <c r="J2" s="1">
        <v>735809628</v>
      </c>
      <c r="K2" s="1" t="s">
        <v>37</v>
      </c>
      <c r="L2" s="1" t="s">
        <v>53</v>
      </c>
    </row>
    <row r="3" spans="1:12">
      <c r="A3" s="4" t="str">
        <f t="shared" ref="A3:A44" si="0">B3&amp;C3</f>
        <v>553126HQKAAA092HD000012</v>
      </c>
      <c r="B3" s="1" t="s">
        <v>63</v>
      </c>
      <c r="C3" s="1" t="s">
        <v>64</v>
      </c>
      <c r="D3" s="3">
        <v>2.95</v>
      </c>
      <c r="E3" s="2">
        <v>1</v>
      </c>
      <c r="F3" s="1" t="s">
        <v>65</v>
      </c>
      <c r="G3" s="1" t="s">
        <v>62</v>
      </c>
      <c r="H3" s="1" t="str">
        <f>IF(Table1[[#This Row],[Category]]="BANGLES",MID(Table1[[#This Row],[Variant]],11,1),"-")</f>
        <v>-</v>
      </c>
      <c r="I3" s="2">
        <v>12929328</v>
      </c>
      <c r="J3" s="1">
        <v>735809628</v>
      </c>
      <c r="K3" s="1" t="s">
        <v>37</v>
      </c>
      <c r="L3" s="1" t="s">
        <v>53</v>
      </c>
    </row>
    <row r="4" spans="1:12">
      <c r="A4" s="4" t="str">
        <f t="shared" si="0"/>
        <v>553126FQFJAA092HD000017</v>
      </c>
      <c r="B4" s="1" t="s">
        <v>66</v>
      </c>
      <c r="C4" s="1" t="s">
        <v>67</v>
      </c>
      <c r="D4" s="3">
        <v>1.784</v>
      </c>
      <c r="E4" s="2">
        <v>1</v>
      </c>
      <c r="F4" s="1" t="s">
        <v>19</v>
      </c>
      <c r="G4" s="1" t="s">
        <v>62</v>
      </c>
      <c r="H4" s="1" t="str">
        <f>IF(Table1[[#This Row],[Category]]="BANGLES",MID(Table1[[#This Row],[Variant]],11,1),"-")</f>
        <v>-</v>
      </c>
      <c r="I4" s="2">
        <v>12929328</v>
      </c>
      <c r="J4" s="1">
        <v>735809628</v>
      </c>
      <c r="K4" s="1" t="s">
        <v>37</v>
      </c>
      <c r="L4" s="1" t="s">
        <v>53</v>
      </c>
    </row>
    <row r="5" spans="1:12">
      <c r="A5" s="4" t="str">
        <f t="shared" si="0"/>
        <v>50D5CPCLSKRA002ED000003</v>
      </c>
      <c r="B5" s="1" t="s">
        <v>68</v>
      </c>
      <c r="C5" s="1" t="s">
        <v>69</v>
      </c>
      <c r="D5" s="3">
        <v>7.3239999999999998</v>
      </c>
      <c r="E5" s="2">
        <v>1</v>
      </c>
      <c r="F5" s="1" t="s">
        <v>17</v>
      </c>
      <c r="G5" s="1" t="s">
        <v>23</v>
      </c>
      <c r="H5" s="1" t="str">
        <f>IF(Table1[[#This Row],[Category]]="BANGLES",MID(Table1[[#This Row],[Variant]],11,1),"-")</f>
        <v>-</v>
      </c>
      <c r="I5" s="2">
        <v>12929328</v>
      </c>
      <c r="J5" s="1">
        <v>735809628</v>
      </c>
      <c r="K5" s="1" t="s">
        <v>37</v>
      </c>
      <c r="L5" s="1" t="s">
        <v>53</v>
      </c>
    </row>
    <row r="6" spans="1:12">
      <c r="A6" s="4" t="str">
        <f t="shared" si="0"/>
        <v>514022PQMAAA002EA000246</v>
      </c>
      <c r="B6" s="1" t="s">
        <v>70</v>
      </c>
      <c r="C6" s="1" t="s">
        <v>71</v>
      </c>
      <c r="D6" s="3">
        <v>3.169</v>
      </c>
      <c r="E6" s="2">
        <v>1</v>
      </c>
      <c r="F6" s="1" t="s">
        <v>16</v>
      </c>
      <c r="G6" s="1" t="s">
        <v>23</v>
      </c>
      <c r="H6" s="1" t="str">
        <f>IF(Table1[[#This Row],[Category]]="BANGLES",MID(Table1[[#This Row],[Variant]],11,1),"-")</f>
        <v>-</v>
      </c>
      <c r="I6" s="2">
        <v>12929328</v>
      </c>
      <c r="J6" s="1">
        <v>735809628</v>
      </c>
      <c r="K6" s="1" t="s">
        <v>37</v>
      </c>
      <c r="L6" s="1" t="s">
        <v>53</v>
      </c>
    </row>
    <row r="7" spans="1:12">
      <c r="A7" s="4" t="str">
        <f t="shared" si="0"/>
        <v>526062VCAR1A002ED000005</v>
      </c>
      <c r="B7" s="1" t="s">
        <v>72</v>
      </c>
      <c r="C7" s="1" t="s">
        <v>73</v>
      </c>
      <c r="D7" s="3">
        <v>22.827000000000002</v>
      </c>
      <c r="E7" s="2">
        <v>1</v>
      </c>
      <c r="F7" s="1" t="s">
        <v>15</v>
      </c>
      <c r="G7" s="1" t="s">
        <v>23</v>
      </c>
      <c r="H7" s="1" t="str">
        <f>IF(Table1[[#This Row],[Category]]="BANGLES",MID(Table1[[#This Row],[Variant]],11,1),"-")</f>
        <v>1</v>
      </c>
      <c r="I7" s="2">
        <v>12929328</v>
      </c>
      <c r="J7" s="1">
        <v>735809628</v>
      </c>
      <c r="K7" s="1" t="s">
        <v>37</v>
      </c>
      <c r="L7" s="1" t="s">
        <v>53</v>
      </c>
    </row>
    <row r="8" spans="1:12">
      <c r="A8" s="4" t="str">
        <f t="shared" si="0"/>
        <v>51D6C3BLKBLA002ED000020</v>
      </c>
      <c r="B8" s="1" t="s">
        <v>74</v>
      </c>
      <c r="C8" s="1" t="s">
        <v>75</v>
      </c>
      <c r="D8" s="3">
        <v>3.1429999999999998</v>
      </c>
      <c r="E8" s="2">
        <v>1</v>
      </c>
      <c r="F8" s="1" t="s">
        <v>18</v>
      </c>
      <c r="G8" s="1" t="s">
        <v>23</v>
      </c>
      <c r="H8" s="1" t="str">
        <f>IF(Table1[[#This Row],[Category]]="BANGLES",MID(Table1[[#This Row],[Variant]],11,1),"-")</f>
        <v>-</v>
      </c>
      <c r="I8" s="2">
        <v>12929328</v>
      </c>
      <c r="J8" s="1">
        <v>735809628</v>
      </c>
      <c r="K8" s="1" t="s">
        <v>37</v>
      </c>
      <c r="L8" s="1" t="s">
        <v>53</v>
      </c>
    </row>
    <row r="9" spans="1:12">
      <c r="A9" s="4" t="str">
        <f t="shared" si="0"/>
        <v>553126SPEAFA092BD000217</v>
      </c>
      <c r="B9" s="1" t="s">
        <v>76</v>
      </c>
      <c r="C9" s="1" t="s">
        <v>77</v>
      </c>
      <c r="D9" s="3">
        <v>1.39</v>
      </c>
      <c r="E9" s="2">
        <v>1</v>
      </c>
      <c r="F9" s="1" t="s">
        <v>78</v>
      </c>
      <c r="G9" s="1" t="s">
        <v>62</v>
      </c>
      <c r="H9" s="1" t="str">
        <f>IF(Table1[[#This Row],[Category]]="BANGLES",MID(Table1[[#This Row],[Variant]],11,1),"-")</f>
        <v>-</v>
      </c>
      <c r="I9" s="2">
        <v>12929328</v>
      </c>
      <c r="J9" s="1">
        <v>735809628</v>
      </c>
      <c r="K9" s="1" t="s">
        <v>37</v>
      </c>
      <c r="L9" s="1" t="s">
        <v>53</v>
      </c>
    </row>
    <row r="10" spans="1:12">
      <c r="A10" s="4" t="str">
        <f t="shared" si="0"/>
        <v>553126FPGJAA092BD000019</v>
      </c>
      <c r="B10" s="1" t="s">
        <v>79</v>
      </c>
      <c r="C10" s="1" t="s">
        <v>80</v>
      </c>
      <c r="D10" s="3">
        <v>1.304</v>
      </c>
      <c r="E10" s="2">
        <v>1</v>
      </c>
      <c r="F10" s="1" t="s">
        <v>19</v>
      </c>
      <c r="G10" s="1" t="s">
        <v>62</v>
      </c>
      <c r="H10" s="1" t="str">
        <f>IF(Table1[[#This Row],[Category]]="BANGLES",MID(Table1[[#This Row],[Variant]],11,1),"-")</f>
        <v>-</v>
      </c>
      <c r="I10" s="2">
        <v>12929328</v>
      </c>
      <c r="J10" s="1">
        <v>735809628</v>
      </c>
      <c r="K10" s="1" t="s">
        <v>37</v>
      </c>
      <c r="L10" s="1" t="s">
        <v>53</v>
      </c>
    </row>
    <row r="11" spans="1:12">
      <c r="A11" s="4" t="str">
        <f t="shared" si="0"/>
        <v>553126FPJMAA092BD000052</v>
      </c>
      <c r="B11" s="1" t="s">
        <v>81</v>
      </c>
      <c r="C11" s="1" t="s">
        <v>82</v>
      </c>
      <c r="D11" s="3">
        <v>1.1020000000000001</v>
      </c>
      <c r="E11" s="2">
        <v>1</v>
      </c>
      <c r="F11" s="1" t="s">
        <v>19</v>
      </c>
      <c r="G11" s="1" t="s">
        <v>62</v>
      </c>
      <c r="H11" s="1" t="str">
        <f>IF(Table1[[#This Row],[Category]]="BANGLES",MID(Table1[[#This Row],[Variant]],11,1),"-")</f>
        <v>-</v>
      </c>
      <c r="I11" s="2">
        <v>12929328</v>
      </c>
      <c r="J11" s="1">
        <v>735809628</v>
      </c>
      <c r="K11" s="1" t="s">
        <v>37</v>
      </c>
      <c r="L11" s="1" t="s">
        <v>53</v>
      </c>
    </row>
    <row r="12" spans="1:12">
      <c r="A12" s="4" t="str">
        <f t="shared" si="0"/>
        <v>51G6C1FUIRAA002ED000004</v>
      </c>
      <c r="B12" s="1" t="s">
        <v>83</v>
      </c>
      <c r="C12" s="1" t="s">
        <v>9</v>
      </c>
      <c r="D12" s="3">
        <v>2.8519999999999999</v>
      </c>
      <c r="E12" s="2">
        <v>1</v>
      </c>
      <c r="F12" s="1" t="s">
        <v>19</v>
      </c>
      <c r="G12" s="1" t="s">
        <v>23</v>
      </c>
      <c r="H12" s="1" t="str">
        <f>IF(Table1[[#This Row],[Category]]="BANGLES",MID(Table1[[#This Row],[Variant]],11,1),"-")</f>
        <v>-</v>
      </c>
      <c r="I12" s="2">
        <v>12929328</v>
      </c>
      <c r="J12" s="1">
        <v>735809628</v>
      </c>
      <c r="K12" s="1" t="s">
        <v>37</v>
      </c>
      <c r="L12" s="1" t="s">
        <v>53</v>
      </c>
    </row>
    <row r="13" spans="1:12">
      <c r="A13" s="4" t="str">
        <f t="shared" si="0"/>
        <v>513216CHIGAA002ED009089</v>
      </c>
      <c r="B13" s="1" t="s">
        <v>84</v>
      </c>
      <c r="C13" s="1" t="s">
        <v>85</v>
      </c>
      <c r="D13" s="3">
        <v>11.217000000000001</v>
      </c>
      <c r="E13" s="2">
        <v>1</v>
      </c>
      <c r="F13" s="1" t="s">
        <v>17</v>
      </c>
      <c r="G13" s="1" t="s">
        <v>23</v>
      </c>
      <c r="H13" s="1" t="str">
        <f>IF(Table1[[#This Row],[Category]]="BANGLES",MID(Table1[[#This Row],[Variant]],11,1),"-")</f>
        <v>-</v>
      </c>
      <c r="I13" s="2">
        <v>12929328</v>
      </c>
      <c r="J13" s="1">
        <v>735809628</v>
      </c>
      <c r="K13" s="1" t="s">
        <v>37</v>
      </c>
      <c r="L13" s="1" t="s">
        <v>53</v>
      </c>
    </row>
    <row r="14" spans="1:12">
      <c r="A14" s="4" t="str">
        <f t="shared" si="0"/>
        <v>51D6C3BLMBLA002ED000116</v>
      </c>
      <c r="B14" s="1" t="s">
        <v>86</v>
      </c>
      <c r="C14" s="1" t="s">
        <v>87</v>
      </c>
      <c r="D14" s="3">
        <v>3.4980000000000002</v>
      </c>
      <c r="E14" s="2">
        <v>1</v>
      </c>
      <c r="F14" s="1" t="s">
        <v>18</v>
      </c>
      <c r="G14" s="1" t="s">
        <v>23</v>
      </c>
      <c r="H14" s="1" t="str">
        <f>IF(Table1[[#This Row],[Category]]="BANGLES",MID(Table1[[#This Row],[Variant]],11,1),"-")</f>
        <v>-</v>
      </c>
      <c r="I14" s="2">
        <v>12929328</v>
      </c>
      <c r="J14" s="1">
        <v>735809628</v>
      </c>
      <c r="K14" s="1" t="s">
        <v>37</v>
      </c>
      <c r="L14" s="1" t="s">
        <v>53</v>
      </c>
    </row>
    <row r="15" spans="1:12">
      <c r="A15" s="4" t="str">
        <f t="shared" si="0"/>
        <v>526062VCHR2A002ED000086</v>
      </c>
      <c r="B15" s="1" t="s">
        <v>88</v>
      </c>
      <c r="C15" s="1" t="s">
        <v>89</v>
      </c>
      <c r="D15" s="3">
        <v>30.869</v>
      </c>
      <c r="E15" s="2">
        <v>1</v>
      </c>
      <c r="F15" s="1" t="s">
        <v>15</v>
      </c>
      <c r="G15" s="1" t="s">
        <v>23</v>
      </c>
      <c r="H15" s="1" t="str">
        <f>IF(Table1[[#This Row],[Category]]="BANGLES",MID(Table1[[#This Row],[Variant]],11,1),"-")</f>
        <v>2</v>
      </c>
      <c r="I15" s="2">
        <v>12929328</v>
      </c>
      <c r="J15" s="1">
        <v>735809628</v>
      </c>
      <c r="K15" s="1" t="s">
        <v>37</v>
      </c>
      <c r="L15" s="1" t="s">
        <v>53</v>
      </c>
    </row>
    <row r="16" spans="1:12">
      <c r="A16" s="4" t="str">
        <f t="shared" si="0"/>
        <v>50D5PLHJBAAA2A2JD000111</v>
      </c>
      <c r="B16" s="1" t="s">
        <v>90</v>
      </c>
      <c r="C16" s="1" t="s">
        <v>91</v>
      </c>
      <c r="D16" s="3">
        <v>3.7450000000000001</v>
      </c>
      <c r="E16" s="2">
        <v>1</v>
      </c>
      <c r="F16" s="1" t="s">
        <v>65</v>
      </c>
      <c r="G16" s="1" t="s">
        <v>92</v>
      </c>
      <c r="H16" s="1" t="str">
        <f>IF(Table1[[#This Row],[Category]]="BANGLES",MID(Table1[[#This Row],[Variant]],11,1),"-")</f>
        <v>-</v>
      </c>
      <c r="I16" s="2">
        <v>12929328</v>
      </c>
      <c r="J16" s="1">
        <v>735809628</v>
      </c>
      <c r="K16" s="1" t="s">
        <v>37</v>
      </c>
      <c r="L16" s="1" t="s">
        <v>53</v>
      </c>
    </row>
    <row r="17" spans="1:12">
      <c r="A17" s="4" t="str">
        <f t="shared" si="0"/>
        <v>51D4C1CBZKAA002ED000013</v>
      </c>
      <c r="B17" s="1" t="s">
        <v>93</v>
      </c>
      <c r="C17" s="1" t="s">
        <v>11</v>
      </c>
      <c r="D17" s="3">
        <v>22.794</v>
      </c>
      <c r="E17" s="2">
        <v>1</v>
      </c>
      <c r="F17" s="1" t="s">
        <v>17</v>
      </c>
      <c r="G17" s="1" t="s">
        <v>23</v>
      </c>
      <c r="H17" s="1" t="str">
        <f>IF(Table1[[#This Row],[Category]]="BANGLES",MID(Table1[[#This Row],[Variant]],11,1),"-")</f>
        <v>-</v>
      </c>
      <c r="I17" s="2">
        <v>12929328</v>
      </c>
      <c r="J17" s="1">
        <v>735809628</v>
      </c>
      <c r="K17" s="1" t="s">
        <v>37</v>
      </c>
      <c r="L17" s="1" t="s">
        <v>53</v>
      </c>
    </row>
    <row r="18" spans="1:12">
      <c r="A18" s="4" t="str">
        <f t="shared" si="0"/>
        <v>553126FPHKAA092BD000002</v>
      </c>
      <c r="B18" s="1" t="s">
        <v>94</v>
      </c>
      <c r="C18" s="1" t="s">
        <v>13</v>
      </c>
      <c r="D18" s="3">
        <v>1.002</v>
      </c>
      <c r="E18" s="2">
        <v>1</v>
      </c>
      <c r="F18" s="1" t="s">
        <v>19</v>
      </c>
      <c r="G18" s="1" t="s">
        <v>62</v>
      </c>
      <c r="H18" s="1" t="str">
        <f>IF(Table1[[#This Row],[Category]]="BANGLES",MID(Table1[[#This Row],[Variant]],11,1),"-")</f>
        <v>-</v>
      </c>
      <c r="I18" s="2">
        <v>12929328</v>
      </c>
      <c r="J18" s="1">
        <v>735809628</v>
      </c>
      <c r="K18" s="1" t="s">
        <v>37</v>
      </c>
      <c r="L18" s="1" t="s">
        <v>53</v>
      </c>
    </row>
    <row r="19" spans="1:12">
      <c r="A19" s="4" t="str">
        <f t="shared" si="0"/>
        <v>513219BUDFAB002ED001639</v>
      </c>
      <c r="B19" s="1" t="s">
        <v>95</v>
      </c>
      <c r="C19" s="1" t="s">
        <v>96</v>
      </c>
      <c r="D19" s="3">
        <v>7.3620000000000001</v>
      </c>
      <c r="E19" s="2">
        <v>1</v>
      </c>
      <c r="F19" s="1" t="s">
        <v>18</v>
      </c>
      <c r="G19" s="1" t="s">
        <v>23</v>
      </c>
      <c r="H19" s="1" t="str">
        <f>IF(Table1[[#This Row],[Category]]="BANGLES",MID(Table1[[#This Row],[Variant]],11,1),"-")</f>
        <v>-</v>
      </c>
      <c r="I19" s="2">
        <v>12929328</v>
      </c>
      <c r="J19" s="1">
        <v>735809628</v>
      </c>
      <c r="K19" s="1" t="s">
        <v>37</v>
      </c>
      <c r="L19" s="1" t="s">
        <v>53</v>
      </c>
    </row>
    <row r="20" spans="1:12">
      <c r="A20" s="4" t="str">
        <f t="shared" si="0"/>
        <v>502213SIFAAA2A2BD000063</v>
      </c>
      <c r="B20" s="1" t="s">
        <v>97</v>
      </c>
      <c r="C20" s="1" t="s">
        <v>98</v>
      </c>
      <c r="D20" s="3">
        <v>1.462</v>
      </c>
      <c r="E20" s="2">
        <v>1</v>
      </c>
      <c r="F20" s="1" t="s">
        <v>78</v>
      </c>
      <c r="G20" s="1" t="s">
        <v>99</v>
      </c>
      <c r="H20" s="1" t="str">
        <f>IF(Table1[[#This Row],[Category]]="BANGLES",MID(Table1[[#This Row],[Variant]],11,1),"-")</f>
        <v>-</v>
      </c>
      <c r="I20" s="2">
        <v>12929328</v>
      </c>
      <c r="J20" s="1">
        <v>735809628</v>
      </c>
      <c r="K20" s="1" t="s">
        <v>37</v>
      </c>
      <c r="L20" s="1" t="s">
        <v>53</v>
      </c>
    </row>
    <row r="21" spans="1:12">
      <c r="A21" s="4" t="str">
        <f t="shared" si="0"/>
        <v>51E5CPFALLAA002JD000080</v>
      </c>
      <c r="B21" s="1" t="s">
        <v>100</v>
      </c>
      <c r="C21" s="1" t="s">
        <v>101</v>
      </c>
      <c r="D21" s="3">
        <v>3.2330000000000001</v>
      </c>
      <c r="E21" s="2">
        <v>1</v>
      </c>
      <c r="F21" s="1" t="s">
        <v>19</v>
      </c>
      <c r="G21" s="1" t="s">
        <v>23</v>
      </c>
      <c r="H21" s="1" t="str">
        <f>IF(Table1[[#This Row],[Category]]="BANGLES",MID(Table1[[#This Row],[Variant]],11,1),"-")</f>
        <v>-</v>
      </c>
      <c r="I21" s="2">
        <v>12929328</v>
      </c>
      <c r="J21" s="1">
        <v>735809628</v>
      </c>
      <c r="K21" s="1" t="s">
        <v>37</v>
      </c>
      <c r="L21" s="1" t="s">
        <v>53</v>
      </c>
    </row>
    <row r="22" spans="1:12">
      <c r="A22" s="4" t="str">
        <f t="shared" si="0"/>
        <v>553126SPDAFA092BD000321</v>
      </c>
      <c r="B22" s="1" t="s">
        <v>102</v>
      </c>
      <c r="C22" s="1" t="s">
        <v>103</v>
      </c>
      <c r="D22" s="3">
        <v>1.6859999999999999</v>
      </c>
      <c r="E22" s="2">
        <v>1</v>
      </c>
      <c r="F22" s="1" t="s">
        <v>78</v>
      </c>
      <c r="G22" s="1" t="s">
        <v>62</v>
      </c>
      <c r="H22" s="1" t="str">
        <f>IF(Table1[[#This Row],[Category]]="BANGLES",MID(Table1[[#This Row],[Variant]],11,1),"-")</f>
        <v>-</v>
      </c>
      <c r="I22" s="2">
        <v>12929328</v>
      </c>
      <c r="J22" s="1">
        <v>735809628</v>
      </c>
      <c r="K22" s="1" t="s">
        <v>37</v>
      </c>
      <c r="L22" s="1" t="s">
        <v>53</v>
      </c>
    </row>
    <row r="23" spans="1:12">
      <c r="A23" s="4" t="str">
        <f t="shared" si="0"/>
        <v>50D5PIPIYAAA002EA000009</v>
      </c>
      <c r="B23" s="1" t="s">
        <v>104</v>
      </c>
      <c r="C23" s="1" t="s">
        <v>44</v>
      </c>
      <c r="D23" s="3">
        <v>2.59</v>
      </c>
      <c r="E23" s="2">
        <v>1</v>
      </c>
      <c r="F23" s="1" t="s">
        <v>16</v>
      </c>
      <c r="G23" s="1" t="s">
        <v>23</v>
      </c>
      <c r="H23" s="1" t="str">
        <f>IF(Table1[[#This Row],[Category]]="BANGLES",MID(Table1[[#This Row],[Variant]],11,1),"-")</f>
        <v>-</v>
      </c>
      <c r="I23" s="2">
        <v>12929328</v>
      </c>
      <c r="J23" s="1">
        <v>735809628</v>
      </c>
      <c r="K23" s="1" t="s">
        <v>37</v>
      </c>
      <c r="L23" s="1" t="s">
        <v>53</v>
      </c>
    </row>
    <row r="24" spans="1:12">
      <c r="A24" s="4" t="str">
        <f t="shared" si="0"/>
        <v>51YA77BGOBAA002ED000010</v>
      </c>
      <c r="B24" s="1" t="s">
        <v>105</v>
      </c>
      <c r="C24" s="1" t="s">
        <v>10</v>
      </c>
      <c r="D24" s="3">
        <v>2.5299999999999998</v>
      </c>
      <c r="E24" s="2">
        <v>1</v>
      </c>
      <c r="F24" s="1" t="s">
        <v>18</v>
      </c>
      <c r="G24" s="1" t="s">
        <v>23</v>
      </c>
      <c r="H24" s="1" t="str">
        <f>IF(Table1[[#This Row],[Category]]="BANGLES",MID(Table1[[#This Row],[Variant]],11,1),"-")</f>
        <v>-</v>
      </c>
      <c r="I24" s="2">
        <v>12929328</v>
      </c>
      <c r="J24" s="1">
        <v>735809628</v>
      </c>
      <c r="K24" s="1" t="s">
        <v>37</v>
      </c>
      <c r="L24" s="1" t="s">
        <v>53</v>
      </c>
    </row>
    <row r="25" spans="1:12">
      <c r="A25" s="4" t="str">
        <f t="shared" si="0"/>
        <v>553126DPOAFA092BD000121</v>
      </c>
      <c r="B25" s="1" t="s">
        <v>106</v>
      </c>
      <c r="C25" s="1" t="s">
        <v>107</v>
      </c>
      <c r="D25" s="3">
        <v>1.496</v>
      </c>
      <c r="E25" s="2">
        <v>1</v>
      </c>
      <c r="F25" s="1" t="s">
        <v>61</v>
      </c>
      <c r="G25" s="1" t="s">
        <v>62</v>
      </c>
      <c r="H25" s="1" t="str">
        <f>IF(Table1[[#This Row],[Category]]="BANGLES",MID(Table1[[#This Row],[Variant]],11,1),"-")</f>
        <v>-</v>
      </c>
      <c r="I25" s="2">
        <v>12929328</v>
      </c>
      <c r="J25" s="1">
        <v>735809628</v>
      </c>
      <c r="K25" s="1" t="s">
        <v>37</v>
      </c>
      <c r="L25" s="1" t="s">
        <v>53</v>
      </c>
    </row>
    <row r="26" spans="1:12">
      <c r="A26" s="4" t="str">
        <f t="shared" si="0"/>
        <v>512217DNCABB002EB001866</v>
      </c>
      <c r="B26" s="1" t="s">
        <v>108</v>
      </c>
      <c r="C26" s="1" t="s">
        <v>109</v>
      </c>
      <c r="D26" s="3">
        <v>7.4059999999999997</v>
      </c>
      <c r="E26" s="2">
        <v>1</v>
      </c>
      <c r="F26" s="1" t="s">
        <v>61</v>
      </c>
      <c r="G26" s="1" t="s">
        <v>23</v>
      </c>
      <c r="H26" s="1" t="str">
        <f>IF(Table1[[#This Row],[Category]]="BANGLES",MID(Table1[[#This Row],[Variant]],11,1),"-")</f>
        <v>-</v>
      </c>
      <c r="I26" s="2">
        <v>12929328</v>
      </c>
      <c r="J26" s="1">
        <v>735809628</v>
      </c>
      <c r="K26" s="1" t="s">
        <v>37</v>
      </c>
      <c r="L26" s="1" t="s">
        <v>53</v>
      </c>
    </row>
    <row r="27" spans="1:12">
      <c r="A27" s="4" t="str">
        <f t="shared" si="0"/>
        <v>51G4B1BETIAA002EA000119</v>
      </c>
      <c r="B27" s="1" t="s">
        <v>110</v>
      </c>
      <c r="C27" s="1" t="s">
        <v>111</v>
      </c>
      <c r="D27" s="3">
        <v>18.937000000000001</v>
      </c>
      <c r="E27" s="2">
        <v>1</v>
      </c>
      <c r="F27" s="1" t="s">
        <v>18</v>
      </c>
      <c r="G27" s="1" t="s">
        <v>23</v>
      </c>
      <c r="H27" s="1" t="str">
        <f>IF(Table1[[#This Row],[Category]]="BANGLES",MID(Table1[[#This Row],[Variant]],11,1),"-")</f>
        <v>-</v>
      </c>
      <c r="I27" s="2">
        <v>12929328</v>
      </c>
      <c r="J27" s="1">
        <v>735809628</v>
      </c>
      <c r="K27" s="1" t="s">
        <v>37</v>
      </c>
      <c r="L27" s="1" t="s">
        <v>53</v>
      </c>
    </row>
    <row r="28" spans="1:12">
      <c r="A28" s="4" t="str">
        <f t="shared" si="0"/>
        <v>51E5C1FCKOAA002JD000025</v>
      </c>
      <c r="B28" s="1" t="s">
        <v>112</v>
      </c>
      <c r="C28" s="1" t="s">
        <v>12</v>
      </c>
      <c r="D28" s="3">
        <v>4.04</v>
      </c>
      <c r="E28" s="2">
        <v>1</v>
      </c>
      <c r="F28" s="1" t="s">
        <v>19</v>
      </c>
      <c r="G28" s="1" t="s">
        <v>23</v>
      </c>
      <c r="H28" s="1" t="str">
        <f>IF(Table1[[#This Row],[Category]]="BANGLES",MID(Table1[[#This Row],[Variant]],11,1),"-")</f>
        <v>-</v>
      </c>
      <c r="I28" s="2">
        <v>12929328</v>
      </c>
      <c r="J28" s="1">
        <v>735809628</v>
      </c>
      <c r="K28" s="1" t="s">
        <v>37</v>
      </c>
      <c r="L28" s="1" t="s">
        <v>53</v>
      </c>
    </row>
    <row r="29" spans="1:12">
      <c r="A29" s="4" t="str">
        <f t="shared" si="0"/>
        <v>501919CCZEAA002EA000299</v>
      </c>
      <c r="B29" s="1" t="s">
        <v>113</v>
      </c>
      <c r="C29" s="1" t="s">
        <v>114</v>
      </c>
      <c r="D29" s="3">
        <v>5.7859999999999996</v>
      </c>
      <c r="E29" s="2">
        <v>1</v>
      </c>
      <c r="F29" s="1" t="s">
        <v>17</v>
      </c>
      <c r="G29" s="1" t="s">
        <v>23</v>
      </c>
      <c r="H29" s="1" t="str">
        <f>IF(Table1[[#This Row],[Category]]="BANGLES",MID(Table1[[#This Row],[Variant]],11,1),"-")</f>
        <v>-</v>
      </c>
      <c r="I29" s="2">
        <v>12929328</v>
      </c>
      <c r="J29" s="1">
        <v>735809628</v>
      </c>
      <c r="K29" s="1" t="s">
        <v>37</v>
      </c>
      <c r="L29" s="1" t="s">
        <v>53</v>
      </c>
    </row>
    <row r="30" spans="1:12">
      <c r="A30" s="4" t="str">
        <f t="shared" si="0"/>
        <v>50O6PTVICR1A022BB000012</v>
      </c>
      <c r="B30" s="1" t="s">
        <v>115</v>
      </c>
      <c r="C30" s="1" t="s">
        <v>116</v>
      </c>
      <c r="D30" s="3">
        <v>13.276999999999999</v>
      </c>
      <c r="E30" s="2">
        <v>1</v>
      </c>
      <c r="F30" s="1" t="s">
        <v>15</v>
      </c>
      <c r="G30" s="1" t="s">
        <v>117</v>
      </c>
      <c r="H30" s="1" t="str">
        <f>IF(Table1[[#This Row],[Category]]="BANGLES",MID(Table1[[#This Row],[Variant]],11,1),"-")</f>
        <v>1</v>
      </c>
      <c r="I30" s="2">
        <v>12929328</v>
      </c>
      <c r="J30" s="1">
        <v>735809628</v>
      </c>
      <c r="K30" s="1" t="s">
        <v>37</v>
      </c>
      <c r="L30" s="1" t="s">
        <v>53</v>
      </c>
    </row>
    <row r="31" spans="1:12">
      <c r="A31" s="4" t="str">
        <f t="shared" si="0"/>
        <v>51D5B1VXJQ2A002ED000018</v>
      </c>
      <c r="B31" s="1" t="s">
        <v>118</v>
      </c>
      <c r="C31" s="1" t="s">
        <v>119</v>
      </c>
      <c r="D31" s="3">
        <v>29.469000000000001</v>
      </c>
      <c r="E31" s="2">
        <v>1</v>
      </c>
      <c r="F31" s="1" t="s">
        <v>15</v>
      </c>
      <c r="G31" s="1" t="s">
        <v>23</v>
      </c>
      <c r="H31" s="1" t="str">
        <f>IF(Table1[[#This Row],[Category]]="BANGLES",MID(Table1[[#This Row],[Variant]],11,1),"-")</f>
        <v>2</v>
      </c>
      <c r="I31" s="2">
        <v>12929328</v>
      </c>
      <c r="J31" s="1">
        <v>735809628</v>
      </c>
      <c r="K31" s="1" t="s">
        <v>37</v>
      </c>
      <c r="L31" s="1" t="s">
        <v>53</v>
      </c>
    </row>
    <row r="32" spans="1:12">
      <c r="A32" s="4" t="str">
        <f t="shared" si="0"/>
        <v>51G6C1FUERAA002ED000013</v>
      </c>
      <c r="B32" s="1" t="s">
        <v>120</v>
      </c>
      <c r="C32" s="1" t="s">
        <v>11</v>
      </c>
      <c r="D32" s="3">
        <v>3.0009999999999999</v>
      </c>
      <c r="E32" s="2">
        <v>1</v>
      </c>
      <c r="F32" s="1" t="s">
        <v>19</v>
      </c>
      <c r="G32" s="1" t="s">
        <v>23</v>
      </c>
      <c r="H32" s="1" t="str">
        <f>IF(Table1[[#This Row],[Category]]="BANGLES",MID(Table1[[#This Row],[Variant]],11,1),"-")</f>
        <v>-</v>
      </c>
      <c r="I32" s="2">
        <v>12929328</v>
      </c>
      <c r="J32" s="1">
        <v>735809628</v>
      </c>
      <c r="K32" s="1" t="s">
        <v>37</v>
      </c>
      <c r="L32" s="1" t="s">
        <v>53</v>
      </c>
    </row>
    <row r="33" spans="1:12">
      <c r="A33" s="4" t="str">
        <f t="shared" si="0"/>
        <v>55D6FDBIEBAA262BD000130</v>
      </c>
      <c r="B33" s="1" t="s">
        <v>121</v>
      </c>
      <c r="C33" s="1" t="s">
        <v>122</v>
      </c>
      <c r="D33" s="3">
        <v>8.3780000000000001</v>
      </c>
      <c r="E33" s="2">
        <v>1</v>
      </c>
      <c r="F33" s="1" t="s">
        <v>18</v>
      </c>
      <c r="G33" s="1" t="s">
        <v>117</v>
      </c>
      <c r="H33" s="1" t="str">
        <f>IF(Table1[[#This Row],[Category]]="BANGLES",MID(Table1[[#This Row],[Variant]],11,1),"-")</f>
        <v>-</v>
      </c>
      <c r="I33" s="2">
        <v>12929328</v>
      </c>
      <c r="J33" s="1">
        <v>735809628</v>
      </c>
      <c r="K33" s="1" t="s">
        <v>37</v>
      </c>
      <c r="L33" s="1" t="s">
        <v>53</v>
      </c>
    </row>
    <row r="34" spans="1:12">
      <c r="A34" s="4" t="str">
        <f t="shared" si="0"/>
        <v>553126HQJAAA092HD000072</v>
      </c>
      <c r="B34" s="1" t="s">
        <v>123</v>
      </c>
      <c r="C34" s="1" t="s">
        <v>124</v>
      </c>
      <c r="D34" s="3">
        <v>3.2370000000000001</v>
      </c>
      <c r="E34" s="2">
        <v>1</v>
      </c>
      <c r="F34" s="1" t="s">
        <v>65</v>
      </c>
      <c r="G34" s="1" t="s">
        <v>62</v>
      </c>
      <c r="H34" s="1" t="str">
        <f>IF(Table1[[#This Row],[Category]]="BANGLES",MID(Table1[[#This Row],[Variant]],11,1),"-")</f>
        <v>-</v>
      </c>
      <c r="I34" s="2">
        <v>12929328</v>
      </c>
      <c r="J34" s="1">
        <v>735809628</v>
      </c>
      <c r="K34" s="1" t="s">
        <v>37</v>
      </c>
      <c r="L34" s="1" t="s">
        <v>53</v>
      </c>
    </row>
    <row r="35" spans="1:12">
      <c r="A35" s="4" t="str">
        <f t="shared" si="0"/>
        <v>51D6C3VRYP1A002ED000002</v>
      </c>
      <c r="B35" s="1" t="s">
        <v>125</v>
      </c>
      <c r="C35" s="1" t="s">
        <v>126</v>
      </c>
      <c r="D35" s="3">
        <v>9.9719999999999995</v>
      </c>
      <c r="E35" s="2">
        <v>1</v>
      </c>
      <c r="F35" s="1" t="s">
        <v>15</v>
      </c>
      <c r="G35" s="1" t="s">
        <v>23</v>
      </c>
      <c r="H35" s="1" t="str">
        <f>IF(Table1[[#This Row],[Category]]="BANGLES",MID(Table1[[#This Row],[Variant]],11,1),"-")</f>
        <v>1</v>
      </c>
      <c r="I35" s="2">
        <v>12929328</v>
      </c>
      <c r="J35" s="1">
        <v>735809628</v>
      </c>
      <c r="K35" s="1" t="s">
        <v>37</v>
      </c>
      <c r="L35" s="1" t="s">
        <v>53</v>
      </c>
    </row>
    <row r="36" spans="1:12">
      <c r="A36" s="4" t="str">
        <f t="shared" si="0"/>
        <v>50D2P2SOEAGA262BD000131</v>
      </c>
      <c r="B36" s="1" t="s">
        <v>127</v>
      </c>
      <c r="C36" s="1" t="s">
        <v>128</v>
      </c>
      <c r="D36" s="3">
        <v>2.4740000000000002</v>
      </c>
      <c r="E36" s="2">
        <v>1</v>
      </c>
      <c r="F36" s="1" t="s">
        <v>78</v>
      </c>
      <c r="G36" s="1" t="s">
        <v>24</v>
      </c>
      <c r="H36" s="1" t="str">
        <f>IF(Table1[[#This Row],[Category]]="BANGLES",MID(Table1[[#This Row],[Variant]],11,1),"-")</f>
        <v>-</v>
      </c>
      <c r="I36" s="2">
        <v>12929328</v>
      </c>
      <c r="J36" s="1">
        <v>735809628</v>
      </c>
      <c r="K36" s="1" t="s">
        <v>37</v>
      </c>
      <c r="L36" s="1" t="s">
        <v>53</v>
      </c>
    </row>
    <row r="37" spans="1:12">
      <c r="A37" s="4" t="str">
        <f t="shared" si="0"/>
        <v>50D3FFGAVEAA262BD000010</v>
      </c>
      <c r="B37" s="1" t="s">
        <v>129</v>
      </c>
      <c r="C37" s="1" t="s">
        <v>130</v>
      </c>
      <c r="D37" s="3">
        <v>3.706</v>
      </c>
      <c r="E37" s="2">
        <v>1</v>
      </c>
      <c r="F37" s="1" t="s">
        <v>131</v>
      </c>
      <c r="G37" s="1" t="s">
        <v>132</v>
      </c>
      <c r="H37" s="1" t="str">
        <f>IF(Table1[[#This Row],[Category]]="BANGLES",MID(Table1[[#This Row],[Variant]],11,1),"-")</f>
        <v>-</v>
      </c>
      <c r="I37" s="2">
        <v>12929328</v>
      </c>
      <c r="J37" s="1">
        <v>735809628</v>
      </c>
      <c r="K37" s="1" t="s">
        <v>37</v>
      </c>
      <c r="L37" s="1" t="s">
        <v>53</v>
      </c>
    </row>
    <row r="38" spans="1:12">
      <c r="A38" s="4" t="str">
        <f t="shared" si="0"/>
        <v>553126HORAAA092JD000163</v>
      </c>
      <c r="B38" s="1" t="s">
        <v>133</v>
      </c>
      <c r="C38" s="1" t="s">
        <v>134</v>
      </c>
      <c r="D38" s="3">
        <v>2.7959999999999998</v>
      </c>
      <c r="E38" s="2">
        <v>1</v>
      </c>
      <c r="F38" s="1" t="s">
        <v>65</v>
      </c>
      <c r="G38" s="1" t="s">
        <v>62</v>
      </c>
      <c r="H38" s="1" t="str">
        <f>IF(Table1[[#This Row],[Category]]="BANGLES",MID(Table1[[#This Row],[Variant]],11,1),"-")</f>
        <v>-</v>
      </c>
      <c r="I38" s="2">
        <v>12929328</v>
      </c>
      <c r="J38" s="1">
        <v>735809628</v>
      </c>
      <c r="K38" s="1" t="s">
        <v>37</v>
      </c>
      <c r="L38" s="1" t="s">
        <v>53</v>
      </c>
    </row>
    <row r="39" spans="1:12">
      <c r="A39" s="4" t="str">
        <f t="shared" si="0"/>
        <v>51G6C1FUFRAA002ED000011</v>
      </c>
      <c r="B39" s="1" t="s">
        <v>135</v>
      </c>
      <c r="C39" s="1" t="s">
        <v>136</v>
      </c>
      <c r="D39" s="3">
        <v>3.07</v>
      </c>
      <c r="E39" s="2">
        <v>1</v>
      </c>
      <c r="F39" s="1" t="s">
        <v>19</v>
      </c>
      <c r="G39" s="1" t="s">
        <v>23</v>
      </c>
      <c r="H39" s="1" t="str">
        <f>IF(Table1[[#This Row],[Category]]="BANGLES",MID(Table1[[#This Row],[Variant]],11,1),"-")</f>
        <v>-</v>
      </c>
      <c r="I39" s="2">
        <v>12929328</v>
      </c>
      <c r="J39" s="1">
        <v>735809628</v>
      </c>
      <c r="K39" s="1" t="s">
        <v>37</v>
      </c>
      <c r="L39" s="1" t="s">
        <v>53</v>
      </c>
    </row>
    <row r="40" spans="1:12">
      <c r="A40" s="4" t="str">
        <f t="shared" si="0"/>
        <v>553126HQLAAA092HD000083</v>
      </c>
      <c r="B40" s="1" t="s">
        <v>137</v>
      </c>
      <c r="C40" s="1" t="s">
        <v>138</v>
      </c>
      <c r="D40" s="3">
        <v>2.9689999999999999</v>
      </c>
      <c r="E40" s="2">
        <v>1</v>
      </c>
      <c r="F40" s="1" t="s">
        <v>65</v>
      </c>
      <c r="G40" s="1" t="s">
        <v>62</v>
      </c>
      <c r="H40" s="1" t="str">
        <f>IF(Table1[[#This Row],[Category]]="BANGLES",MID(Table1[[#This Row],[Variant]],11,1),"-")</f>
        <v>-</v>
      </c>
      <c r="I40" s="2">
        <v>12929328</v>
      </c>
      <c r="J40" s="1">
        <v>735809628</v>
      </c>
      <c r="K40" s="1" t="s">
        <v>37</v>
      </c>
      <c r="L40" s="1" t="s">
        <v>53</v>
      </c>
    </row>
    <row r="41" spans="1:12">
      <c r="A41" s="4" t="str">
        <f t="shared" si="0"/>
        <v>51D5B1VXAQ1A002ED000003</v>
      </c>
      <c r="B41" s="1" t="s">
        <v>139</v>
      </c>
      <c r="C41" s="1" t="s">
        <v>69</v>
      </c>
      <c r="D41" s="3">
        <v>17.181999999999999</v>
      </c>
      <c r="E41" s="2">
        <v>1</v>
      </c>
      <c r="F41" s="1" t="s">
        <v>15</v>
      </c>
      <c r="G41" s="1" t="s">
        <v>23</v>
      </c>
      <c r="H41" s="1" t="str">
        <f>IF(Table1[[#This Row],[Category]]="BANGLES",MID(Table1[[#This Row],[Variant]],11,1),"-")</f>
        <v>1</v>
      </c>
      <c r="I41" s="2">
        <v>12929328</v>
      </c>
      <c r="J41" s="1">
        <v>735809628</v>
      </c>
      <c r="K41" s="1" t="s">
        <v>37</v>
      </c>
      <c r="L41" s="1" t="s">
        <v>53</v>
      </c>
    </row>
    <row r="42" spans="1:12">
      <c r="A42" s="4" t="str">
        <f t="shared" si="0"/>
        <v>553126HQIAAA092HD000279</v>
      </c>
      <c r="B42" s="1" t="s">
        <v>140</v>
      </c>
      <c r="C42" s="1" t="s">
        <v>141</v>
      </c>
      <c r="D42" s="3">
        <v>2.4660000000000002</v>
      </c>
      <c r="E42" s="2">
        <v>1</v>
      </c>
      <c r="F42" s="1" t="s">
        <v>65</v>
      </c>
      <c r="G42" s="1" t="s">
        <v>62</v>
      </c>
      <c r="H42" s="1" t="str">
        <f>IF(Table1[[#This Row],[Category]]="BANGLES",MID(Table1[[#This Row],[Variant]],11,1),"-")</f>
        <v>-</v>
      </c>
      <c r="I42" s="2">
        <v>12929328</v>
      </c>
      <c r="J42" s="1">
        <v>735809628</v>
      </c>
      <c r="K42" s="1" t="s">
        <v>37</v>
      </c>
      <c r="L42" s="1" t="s">
        <v>53</v>
      </c>
    </row>
    <row r="43" spans="1:12">
      <c r="A43" s="4" t="str">
        <f t="shared" si="0"/>
        <v>50D4B3SMKAGA262BD000156</v>
      </c>
      <c r="B43" s="1" t="s">
        <v>142</v>
      </c>
      <c r="C43" s="1" t="s">
        <v>143</v>
      </c>
      <c r="D43" s="3">
        <v>1.649</v>
      </c>
      <c r="E43" s="2">
        <v>1</v>
      </c>
      <c r="F43" s="1" t="s">
        <v>78</v>
      </c>
      <c r="G43" s="1" t="s">
        <v>24</v>
      </c>
      <c r="H43" s="1" t="str">
        <f>IF(Table1[[#This Row],[Category]]="BANGLES",MID(Table1[[#This Row],[Variant]],11,1),"-")</f>
        <v>-</v>
      </c>
      <c r="I43" s="2">
        <v>12929328</v>
      </c>
      <c r="J43" s="1">
        <v>735809628</v>
      </c>
      <c r="K43" s="1" t="s">
        <v>37</v>
      </c>
      <c r="L43" s="1" t="s">
        <v>53</v>
      </c>
    </row>
    <row r="44" spans="1:12">
      <c r="A44" s="4" t="str">
        <f t="shared" si="0"/>
        <v>51D4B3DCWABA002EB001528</v>
      </c>
      <c r="B44" s="1" t="s">
        <v>144</v>
      </c>
      <c r="C44" s="1" t="s">
        <v>145</v>
      </c>
      <c r="D44" s="3">
        <v>4.8639999999999999</v>
      </c>
      <c r="E44" s="2">
        <v>1</v>
      </c>
      <c r="F44" s="1" t="s">
        <v>61</v>
      </c>
      <c r="G44" s="1" t="s">
        <v>23</v>
      </c>
      <c r="H44" s="1" t="str">
        <f>IF(Table1[[#This Row],[Category]]="BANGLES",MID(Table1[[#This Row],[Variant]],11,1),"-")</f>
        <v>-</v>
      </c>
      <c r="I44" s="2">
        <v>12929328</v>
      </c>
      <c r="J44" s="1">
        <v>735809628</v>
      </c>
      <c r="K44" s="1" t="s">
        <v>37</v>
      </c>
      <c r="L44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CA63-38CA-4576-8E84-332556C67EBF}">
  <dimension ref="A3:E26"/>
  <sheetViews>
    <sheetView workbookViewId="0">
      <selection activeCell="D5" sqref="D5"/>
    </sheetView>
  </sheetViews>
  <sheetFormatPr defaultRowHeight="15"/>
  <cols>
    <col min="1" max="1" width="16.140625" bestFit="1" customWidth="1"/>
    <col min="2" max="2" width="11.85546875" bestFit="1" customWidth="1"/>
    <col min="4" max="4" width="13.85546875" bestFit="1" customWidth="1"/>
    <col min="5" max="5" width="11.85546875" bestFit="1" customWidth="1"/>
  </cols>
  <sheetData>
    <row r="3" spans="1:5">
      <c r="A3" s="5" t="s">
        <v>55</v>
      </c>
      <c r="B3" t="s">
        <v>57</v>
      </c>
      <c r="D3" s="5" t="s">
        <v>55</v>
      </c>
      <c r="E3" t="s">
        <v>57</v>
      </c>
    </row>
    <row r="4" spans="1:5">
      <c r="A4" s="6" t="s">
        <v>25</v>
      </c>
      <c r="B4">
        <v>4</v>
      </c>
      <c r="D4" s="6" t="s">
        <v>42</v>
      </c>
      <c r="E4">
        <v>1</v>
      </c>
    </row>
    <row r="5" spans="1:5">
      <c r="A5" s="7" t="s">
        <v>14</v>
      </c>
      <c r="B5">
        <v>4</v>
      </c>
      <c r="D5" s="7" t="s">
        <v>51</v>
      </c>
      <c r="E5">
        <v>1</v>
      </c>
    </row>
    <row r="6" spans="1:5">
      <c r="A6" s="6" t="s">
        <v>23</v>
      </c>
      <c r="B6">
        <v>72</v>
      </c>
      <c r="D6" s="6" t="s">
        <v>41</v>
      </c>
      <c r="E6">
        <v>1</v>
      </c>
    </row>
    <row r="7" spans="1:5">
      <c r="A7" s="7" t="s">
        <v>15</v>
      </c>
      <c r="B7">
        <v>16</v>
      </c>
      <c r="D7" s="7" t="s">
        <v>50</v>
      </c>
      <c r="E7">
        <v>1</v>
      </c>
    </row>
    <row r="8" spans="1:5">
      <c r="A8" s="7" t="s">
        <v>18</v>
      </c>
      <c r="B8">
        <v>9</v>
      </c>
      <c r="D8" s="6" t="s">
        <v>39</v>
      </c>
      <c r="E8">
        <v>1</v>
      </c>
    </row>
    <row r="9" spans="1:5">
      <c r="A9" s="7" t="s">
        <v>17</v>
      </c>
      <c r="B9">
        <v>3</v>
      </c>
      <c r="D9" s="7" t="s">
        <v>46</v>
      </c>
      <c r="E9">
        <v>1</v>
      </c>
    </row>
    <row r="10" spans="1:5">
      <c r="A10" s="7" t="s">
        <v>54</v>
      </c>
      <c r="B10">
        <v>18</v>
      </c>
      <c r="D10" s="6" t="s">
        <v>26</v>
      </c>
      <c r="E10">
        <v>43</v>
      </c>
    </row>
    <row r="11" spans="1:5">
      <c r="A11" s="7" t="s">
        <v>19</v>
      </c>
      <c r="B11">
        <v>19</v>
      </c>
      <c r="D11" s="7" t="s">
        <v>29</v>
      </c>
      <c r="E11">
        <v>6</v>
      </c>
    </row>
    <row r="12" spans="1:5">
      <c r="A12" s="7" t="s">
        <v>43</v>
      </c>
      <c r="B12">
        <v>1</v>
      </c>
      <c r="D12" s="7" t="s">
        <v>30</v>
      </c>
      <c r="E12">
        <v>32</v>
      </c>
    </row>
    <row r="13" spans="1:5">
      <c r="A13" s="7" t="s">
        <v>16</v>
      </c>
      <c r="B13">
        <v>6</v>
      </c>
      <c r="D13" s="7" t="s">
        <v>31</v>
      </c>
      <c r="E13">
        <v>1</v>
      </c>
    </row>
    <row r="14" spans="1:5">
      <c r="A14" s="6" t="s">
        <v>24</v>
      </c>
      <c r="B14">
        <v>24</v>
      </c>
      <c r="D14" s="7" t="s">
        <v>32</v>
      </c>
      <c r="E14">
        <v>3</v>
      </c>
    </row>
    <row r="15" spans="1:5">
      <c r="A15" s="7" t="s">
        <v>15</v>
      </c>
      <c r="B15">
        <v>1</v>
      </c>
      <c r="D15" s="7" t="s">
        <v>33</v>
      </c>
      <c r="E15">
        <v>1</v>
      </c>
    </row>
    <row r="16" spans="1:5">
      <c r="A16" s="7" t="s">
        <v>18</v>
      </c>
      <c r="B16">
        <v>1</v>
      </c>
      <c r="D16" s="6" t="s">
        <v>27</v>
      </c>
      <c r="E16">
        <v>1</v>
      </c>
    </row>
    <row r="17" spans="1:5">
      <c r="A17" s="7" t="s">
        <v>54</v>
      </c>
      <c r="B17">
        <v>13</v>
      </c>
      <c r="D17" s="7" t="s">
        <v>34</v>
      </c>
      <c r="E17">
        <v>1</v>
      </c>
    </row>
    <row r="18" spans="1:5">
      <c r="A18" s="7" t="s">
        <v>19</v>
      </c>
      <c r="B18">
        <v>5</v>
      </c>
      <c r="D18" s="6" t="s">
        <v>28</v>
      </c>
      <c r="E18">
        <v>35</v>
      </c>
    </row>
    <row r="19" spans="1:5">
      <c r="A19" s="7" t="s">
        <v>20</v>
      </c>
      <c r="B19">
        <v>1</v>
      </c>
      <c r="D19" s="7" t="s">
        <v>35</v>
      </c>
      <c r="E19">
        <v>35</v>
      </c>
    </row>
    <row r="20" spans="1:5">
      <c r="A20" s="7" t="s">
        <v>16</v>
      </c>
      <c r="B20">
        <v>1</v>
      </c>
      <c r="D20" s="6" t="s">
        <v>38</v>
      </c>
      <c r="E20">
        <v>1</v>
      </c>
    </row>
    <row r="21" spans="1:5">
      <c r="A21" s="7" t="s">
        <v>21</v>
      </c>
      <c r="B21">
        <v>2</v>
      </c>
      <c r="D21" s="7" t="s">
        <v>45</v>
      </c>
      <c r="E21">
        <v>1</v>
      </c>
    </row>
    <row r="22" spans="1:5">
      <c r="A22" s="6" t="s">
        <v>22</v>
      </c>
      <c r="B22">
        <v>6</v>
      </c>
      <c r="D22" s="6" t="s">
        <v>40</v>
      </c>
      <c r="E22">
        <v>23</v>
      </c>
    </row>
    <row r="23" spans="1:5">
      <c r="A23" s="7" t="s">
        <v>14</v>
      </c>
      <c r="B23">
        <v>6</v>
      </c>
      <c r="D23" s="7" t="s">
        <v>48</v>
      </c>
      <c r="E23">
        <v>2</v>
      </c>
    </row>
    <row r="24" spans="1:5">
      <c r="A24" s="6" t="s">
        <v>56</v>
      </c>
      <c r="B24">
        <v>106</v>
      </c>
      <c r="D24" s="7" t="s">
        <v>49</v>
      </c>
      <c r="E24">
        <v>1</v>
      </c>
    </row>
    <row r="25" spans="1:5">
      <c r="D25" s="7" t="s">
        <v>47</v>
      </c>
      <c r="E25">
        <v>20</v>
      </c>
    </row>
    <row r="26" spans="1:5">
      <c r="D26" s="6" t="s">
        <v>56</v>
      </c>
      <c r="E26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Pending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Tanishq, Marthandam. [L2/S1/Kanniyakumari/TN]</cp:lastModifiedBy>
  <dcterms:created xsi:type="dcterms:W3CDTF">2015-06-05T18:17:20Z</dcterms:created>
  <dcterms:modified xsi:type="dcterms:W3CDTF">2026-10-07T13:39:53Z</dcterms:modified>
</cp:coreProperties>
</file>